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ztomruk\Desktop\"/>
    </mc:Choice>
  </mc:AlternateContent>
  <xr:revisionPtr revIDLastSave="0" documentId="13_ncr:1_{97F1EC03-F9E5-4020-8F19-A38CEF2CB989}" xr6:coauthVersionLast="47" xr6:coauthVersionMax="47" xr10:uidLastSave="{00000000-0000-0000-0000-000000000000}"/>
  <bookViews>
    <workbookView xWindow="-11790" yWindow="-21720" windowWidth="51840" windowHeight="21120" tabRatio="579" activeTab="1" xr2:uid="{00000000-000D-0000-FFFF-FFFF00000000}"/>
  </bookViews>
  <sheets>
    <sheet name="Unternehmen" sheetId="1" r:id="rId1"/>
    <sheet name="Daten" sheetId="3" r:id="rId2"/>
    <sheet name="Auswertung" sheetId="2" r:id="rId3"/>
    <sheet name="Codebook" sheetId="4" r:id="rId4"/>
  </sheets>
  <definedNames>
    <definedName name="_xlnm._FilterDatabase" localSheetId="1" hidden="1">Daten!$A$1:$Q$281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Z281" i="3" l="1"/>
  <c r="X281" i="3"/>
  <c r="V281" i="3"/>
  <c r="R281" i="3"/>
  <c r="S281" i="3" s="1"/>
  <c r="Y281" i="3" s="1"/>
  <c r="M281" i="3"/>
  <c r="Z280" i="3"/>
  <c r="X280" i="3"/>
  <c r="V280" i="3"/>
  <c r="R280" i="3"/>
  <c r="S280" i="3" s="1"/>
  <c r="Y280" i="3" s="1"/>
  <c r="Z279" i="3"/>
  <c r="X279" i="3"/>
  <c r="V279" i="3"/>
  <c r="R279" i="3"/>
  <c r="S279" i="3" s="1"/>
  <c r="M279" i="3"/>
  <c r="K279" i="3"/>
  <c r="Z278" i="3"/>
  <c r="X278" i="3"/>
  <c r="V278" i="3"/>
  <c r="R278" i="3"/>
  <c r="S278" i="3" s="1"/>
  <c r="K278" i="3"/>
  <c r="M278" i="3" s="1"/>
  <c r="Z277" i="3"/>
  <c r="X277" i="3"/>
  <c r="V277" i="3"/>
  <c r="R277" i="3"/>
  <c r="S277" i="3" s="1"/>
  <c r="Y277" i="3" s="1"/>
  <c r="M277" i="3"/>
  <c r="Z276" i="3"/>
  <c r="X276" i="3"/>
  <c r="V276" i="3"/>
  <c r="R276" i="3"/>
  <c r="S276" i="3" s="1"/>
  <c r="M276" i="3"/>
  <c r="Z275" i="3"/>
  <c r="X275" i="3"/>
  <c r="V275" i="3"/>
  <c r="R275" i="3"/>
  <c r="S275" i="3" s="1"/>
  <c r="K275" i="3"/>
  <c r="M275" i="3" s="1"/>
  <c r="Z274" i="3"/>
  <c r="X274" i="3"/>
  <c r="V274" i="3"/>
  <c r="R274" i="3"/>
  <c r="S274" i="3" s="1"/>
  <c r="T274" i="3" s="1"/>
  <c r="U274" i="3" s="1"/>
  <c r="K274" i="3"/>
  <c r="M274" i="3" s="1"/>
  <c r="Z273" i="3"/>
  <c r="Y273" i="3"/>
  <c r="X273" i="3"/>
  <c r="V273" i="3"/>
  <c r="U273" i="3"/>
  <c r="R273" i="3"/>
  <c r="S273" i="3" s="1"/>
  <c r="T273" i="3" s="1"/>
  <c r="M273" i="3"/>
  <c r="Z272" i="3"/>
  <c r="X272" i="3"/>
  <c r="V272" i="3"/>
  <c r="R272" i="3"/>
  <c r="S272" i="3" s="1"/>
  <c r="M272" i="3"/>
  <c r="Z271" i="3"/>
  <c r="X271" i="3"/>
  <c r="V271" i="3"/>
  <c r="R271" i="3"/>
  <c r="S271" i="3" s="1"/>
  <c r="K271" i="3"/>
  <c r="Z270" i="3"/>
  <c r="X270" i="3"/>
  <c r="V270" i="3"/>
  <c r="R270" i="3"/>
  <c r="S270" i="3" s="1"/>
  <c r="T270" i="3" s="1"/>
  <c r="U270" i="3" s="1"/>
  <c r="K270" i="3"/>
  <c r="M270" i="3" s="1"/>
  <c r="Z269" i="3"/>
  <c r="X269" i="3"/>
  <c r="V269" i="3"/>
  <c r="R269" i="3"/>
  <c r="S269" i="3" s="1"/>
  <c r="Y269" i="3" s="1"/>
  <c r="K269" i="3"/>
  <c r="Z268" i="3"/>
  <c r="X268" i="3"/>
  <c r="V268" i="3"/>
  <c r="R268" i="3"/>
  <c r="S268" i="3" s="1"/>
  <c r="M268" i="3"/>
  <c r="Z267" i="3"/>
  <c r="X267" i="3"/>
  <c r="V267" i="3"/>
  <c r="R267" i="3"/>
  <c r="S267" i="3" s="1"/>
  <c r="Y267" i="3" s="1"/>
  <c r="K267" i="3"/>
  <c r="Z266" i="3"/>
  <c r="X266" i="3"/>
  <c r="V266" i="3"/>
  <c r="R266" i="3"/>
  <c r="S266" i="3" s="1"/>
  <c r="T266" i="3" s="1"/>
  <c r="U266" i="3" s="1"/>
  <c r="K266" i="3"/>
  <c r="M266" i="3" s="1"/>
  <c r="Z265" i="3"/>
  <c r="X265" i="3"/>
  <c r="V265" i="3"/>
  <c r="R265" i="3"/>
  <c r="S265" i="3" s="1"/>
  <c r="Y265" i="3" s="1"/>
  <c r="K265" i="3"/>
  <c r="Z264" i="3"/>
  <c r="X264" i="3"/>
  <c r="V264" i="3"/>
  <c r="R264" i="3"/>
  <c r="S264" i="3" s="1"/>
  <c r="T264" i="3" s="1"/>
  <c r="U264" i="3" s="1"/>
  <c r="K264" i="3"/>
  <c r="M264" i="3" s="1"/>
  <c r="Z263" i="3"/>
  <c r="X263" i="3"/>
  <c r="V263" i="3"/>
  <c r="R263" i="3"/>
  <c r="S263" i="3" s="1"/>
  <c r="Z262" i="3"/>
  <c r="X262" i="3"/>
  <c r="V262" i="3"/>
  <c r="R262" i="3"/>
  <c r="S262" i="3" s="1"/>
  <c r="Y262" i="3" s="1"/>
  <c r="M262" i="3"/>
  <c r="Z261" i="3"/>
  <c r="X261" i="3"/>
  <c r="V261" i="3"/>
  <c r="R261" i="3"/>
  <c r="S261" i="3" s="1"/>
  <c r="M261" i="3"/>
  <c r="Z260" i="3"/>
  <c r="X260" i="3"/>
  <c r="V260" i="3"/>
  <c r="R260" i="3"/>
  <c r="S260" i="3" s="1"/>
  <c r="T260" i="3" s="1"/>
  <c r="U260" i="3" s="1"/>
  <c r="K260" i="3"/>
  <c r="Z259" i="3"/>
  <c r="X259" i="3"/>
  <c r="V259" i="3"/>
  <c r="R259" i="3"/>
  <c r="S259" i="3" s="1"/>
  <c r="T259" i="3" s="1"/>
  <c r="U259" i="3" s="1"/>
  <c r="K259" i="3"/>
  <c r="M259" i="3" s="1"/>
  <c r="Z258" i="3"/>
  <c r="X258" i="3"/>
  <c r="V258" i="3"/>
  <c r="R258" i="3"/>
  <c r="S258" i="3" s="1"/>
  <c r="Y258" i="3" s="1"/>
  <c r="K258" i="3"/>
  <c r="Z257" i="3"/>
  <c r="X257" i="3"/>
  <c r="V257" i="3"/>
  <c r="R257" i="3"/>
  <c r="S257" i="3" s="1"/>
  <c r="T257" i="3" s="1"/>
  <c r="U257" i="3" s="1"/>
  <c r="M257" i="3"/>
  <c r="Z256" i="3"/>
  <c r="X256" i="3"/>
  <c r="V256" i="3"/>
  <c r="R256" i="3"/>
  <c r="S256" i="3" s="1"/>
  <c r="Z255" i="3"/>
  <c r="X255" i="3"/>
  <c r="V255" i="3"/>
  <c r="R255" i="3"/>
  <c r="S255" i="3" s="1"/>
  <c r="K255" i="3"/>
  <c r="Z254" i="3"/>
  <c r="X254" i="3"/>
  <c r="V254" i="3"/>
  <c r="R254" i="3"/>
  <c r="S254" i="3" s="1"/>
  <c r="T254" i="3" s="1"/>
  <c r="U254" i="3" s="1"/>
  <c r="K254" i="3"/>
  <c r="M254" i="3" s="1"/>
  <c r="Z253" i="3"/>
  <c r="X253" i="3"/>
  <c r="V253" i="3"/>
  <c r="R253" i="3"/>
  <c r="S253" i="3" s="1"/>
  <c r="T253" i="3" s="1"/>
  <c r="U253" i="3" s="1"/>
  <c r="Z252" i="3"/>
  <c r="X252" i="3"/>
  <c r="V252" i="3"/>
  <c r="R252" i="3"/>
  <c r="S252" i="3" s="1"/>
  <c r="M252" i="3"/>
  <c r="Z251" i="3"/>
  <c r="X251" i="3"/>
  <c r="V251" i="3"/>
  <c r="R251" i="3"/>
  <c r="S251" i="3" s="1"/>
  <c r="K251" i="3"/>
  <c r="M251" i="3" s="1"/>
  <c r="Z250" i="3"/>
  <c r="X250" i="3"/>
  <c r="V250" i="3"/>
  <c r="R250" i="3"/>
  <c r="S250" i="3" s="1"/>
  <c r="T250" i="3" s="1"/>
  <c r="U250" i="3" s="1"/>
  <c r="K250" i="3"/>
  <c r="M250" i="3" s="1"/>
  <c r="Z249" i="3"/>
  <c r="X249" i="3"/>
  <c r="V249" i="3"/>
  <c r="R249" i="3"/>
  <c r="S249" i="3" s="1"/>
  <c r="K249" i="3"/>
  <c r="M249" i="3" s="1"/>
  <c r="Z248" i="3"/>
  <c r="X248" i="3"/>
  <c r="V248" i="3"/>
  <c r="R248" i="3"/>
  <c r="S248" i="3" s="1"/>
  <c r="K248" i="3"/>
  <c r="M248" i="3" s="1"/>
  <c r="Z247" i="3"/>
  <c r="X247" i="3"/>
  <c r="V247" i="3"/>
  <c r="R247" i="3"/>
  <c r="S247" i="3" s="1"/>
  <c r="K247" i="3"/>
  <c r="M247" i="3" s="1"/>
  <c r="Z246" i="3"/>
  <c r="X246" i="3"/>
  <c r="V246" i="3"/>
  <c r="R246" i="3"/>
  <c r="S246" i="3" s="1"/>
  <c r="Y246" i="3" s="1"/>
  <c r="K246" i="3"/>
  <c r="M246" i="3" s="1"/>
  <c r="Z245" i="3"/>
  <c r="X245" i="3"/>
  <c r="V245" i="3"/>
  <c r="R245" i="3"/>
  <c r="S245" i="3" s="1"/>
  <c r="K245" i="3"/>
  <c r="M245" i="3" s="1"/>
  <c r="Z244" i="3"/>
  <c r="X244" i="3"/>
  <c r="V244" i="3"/>
  <c r="R244" i="3"/>
  <c r="S244" i="3" s="1"/>
  <c r="K244" i="3"/>
  <c r="M244" i="3" s="1"/>
  <c r="Z243" i="3"/>
  <c r="X243" i="3"/>
  <c r="V243" i="3"/>
  <c r="R243" i="3"/>
  <c r="S243" i="3" s="1"/>
  <c r="M243" i="3"/>
  <c r="Z242" i="3"/>
  <c r="X242" i="3"/>
  <c r="V242" i="3"/>
  <c r="R242" i="3"/>
  <c r="S242" i="3" s="1"/>
  <c r="M242" i="3"/>
  <c r="Z241" i="3"/>
  <c r="X241" i="3"/>
  <c r="V241" i="3"/>
  <c r="R241" i="3"/>
  <c r="S241" i="3" s="1"/>
  <c r="M241" i="3"/>
  <c r="Z240" i="3"/>
  <c r="X240" i="3"/>
  <c r="V240" i="3"/>
  <c r="R240" i="3"/>
  <c r="S240" i="3" s="1"/>
  <c r="Z239" i="3"/>
  <c r="X239" i="3"/>
  <c r="V239" i="3"/>
  <c r="R239" i="3"/>
  <c r="S239" i="3" s="1"/>
  <c r="T239" i="3" s="1"/>
  <c r="U239" i="3" s="1"/>
  <c r="K239" i="3"/>
  <c r="M239" i="3" s="1"/>
  <c r="Z238" i="3"/>
  <c r="X238" i="3"/>
  <c r="V238" i="3"/>
  <c r="R238" i="3"/>
  <c r="S238" i="3" s="1"/>
  <c r="Y238" i="3" s="1"/>
  <c r="Z237" i="3"/>
  <c r="X237" i="3"/>
  <c r="V237" i="3"/>
  <c r="R237" i="3"/>
  <c r="S237" i="3" s="1"/>
  <c r="Y237" i="3" s="1"/>
  <c r="M237" i="3"/>
  <c r="K237" i="3"/>
  <c r="Z236" i="3"/>
  <c r="X236" i="3"/>
  <c r="V236" i="3"/>
  <c r="R236" i="3"/>
  <c r="S236" i="3" s="1"/>
  <c r="Y236" i="3" s="1"/>
  <c r="Z235" i="3"/>
  <c r="X235" i="3"/>
  <c r="V235" i="3"/>
  <c r="R235" i="3"/>
  <c r="S235" i="3" s="1"/>
  <c r="M235" i="3"/>
  <c r="Z234" i="3"/>
  <c r="Y234" i="3"/>
  <c r="X234" i="3"/>
  <c r="V234" i="3"/>
  <c r="S234" i="3"/>
  <c r="T234" i="3" s="1"/>
  <c r="U234" i="3" s="1"/>
  <c r="R234" i="3"/>
  <c r="Z233" i="3"/>
  <c r="X233" i="3"/>
  <c r="V233" i="3"/>
  <c r="R233" i="3"/>
  <c r="S233" i="3" s="1"/>
  <c r="T233" i="3" s="1"/>
  <c r="U233" i="3" s="1"/>
  <c r="M233" i="3"/>
  <c r="Z232" i="3"/>
  <c r="X232" i="3"/>
  <c r="V232" i="3"/>
  <c r="R232" i="3"/>
  <c r="S232" i="3" s="1"/>
  <c r="Z231" i="3"/>
  <c r="X231" i="3"/>
  <c r="V231" i="3"/>
  <c r="R231" i="3"/>
  <c r="S231" i="3" s="1"/>
  <c r="K231" i="3"/>
  <c r="M231" i="3" s="1"/>
  <c r="Z230" i="3"/>
  <c r="X230" i="3"/>
  <c r="V230" i="3"/>
  <c r="R230" i="3"/>
  <c r="S230" i="3" s="1"/>
  <c r="Z229" i="3"/>
  <c r="X229" i="3"/>
  <c r="V229" i="3"/>
  <c r="R229" i="3"/>
  <c r="S229" i="3" s="1"/>
  <c r="M229" i="3"/>
  <c r="Z228" i="3"/>
  <c r="X228" i="3"/>
  <c r="V228" i="3"/>
  <c r="R228" i="3"/>
  <c r="S228" i="3" s="1"/>
  <c r="Z227" i="3"/>
  <c r="X227" i="3"/>
  <c r="V227" i="3"/>
  <c r="R227" i="3"/>
  <c r="S227" i="3" s="1"/>
  <c r="Y227" i="3" s="1"/>
  <c r="K227" i="3"/>
  <c r="M227" i="3" s="1"/>
  <c r="Z226" i="3"/>
  <c r="X226" i="3"/>
  <c r="V226" i="3"/>
  <c r="R226" i="3"/>
  <c r="S226" i="3" s="1"/>
  <c r="Z225" i="3"/>
  <c r="X225" i="3"/>
  <c r="V225" i="3"/>
  <c r="R225" i="3"/>
  <c r="S225" i="3" s="1"/>
  <c r="K225" i="3"/>
  <c r="M225" i="3" s="1"/>
  <c r="Z224" i="3"/>
  <c r="X224" i="3"/>
  <c r="V224" i="3"/>
  <c r="R224" i="3"/>
  <c r="S224" i="3" s="1"/>
  <c r="T224" i="3" s="1"/>
  <c r="U224" i="3" s="1"/>
  <c r="Z223" i="3"/>
  <c r="X223" i="3"/>
  <c r="V223" i="3"/>
  <c r="R223" i="3"/>
  <c r="S223" i="3" s="1"/>
  <c r="M223" i="3"/>
  <c r="Z222" i="3"/>
  <c r="X222" i="3"/>
  <c r="V222" i="3"/>
  <c r="R222" i="3"/>
  <c r="S222" i="3" s="1"/>
  <c r="Z221" i="3"/>
  <c r="X221" i="3"/>
  <c r="V221" i="3"/>
  <c r="R221" i="3"/>
  <c r="S221" i="3" s="1"/>
  <c r="K221" i="3"/>
  <c r="Z220" i="3"/>
  <c r="X220" i="3"/>
  <c r="V220" i="3"/>
  <c r="R220" i="3"/>
  <c r="S220" i="3" s="1"/>
  <c r="M220" i="3"/>
  <c r="Z219" i="3"/>
  <c r="X219" i="3"/>
  <c r="V219" i="3"/>
  <c r="R219" i="3"/>
  <c r="S219" i="3" s="1"/>
  <c r="T219" i="3" s="1"/>
  <c r="U219" i="3" s="1"/>
  <c r="Z218" i="3"/>
  <c r="X218" i="3"/>
  <c r="V218" i="3"/>
  <c r="R218" i="3"/>
  <c r="S218" i="3" s="1"/>
  <c r="Y218" i="3" s="1"/>
  <c r="K218" i="3"/>
  <c r="M218" i="3" s="1"/>
  <c r="Z217" i="3"/>
  <c r="X217" i="3"/>
  <c r="V217" i="3"/>
  <c r="R217" i="3"/>
  <c r="S217" i="3" s="1"/>
  <c r="M217" i="3"/>
  <c r="Z216" i="3"/>
  <c r="X216" i="3"/>
  <c r="V216" i="3"/>
  <c r="R216" i="3"/>
  <c r="S216" i="3" s="1"/>
  <c r="K216" i="3"/>
  <c r="M216" i="3" s="1"/>
  <c r="Z215" i="3"/>
  <c r="X215" i="3"/>
  <c r="V215" i="3"/>
  <c r="R215" i="3"/>
  <c r="S215" i="3" s="1"/>
  <c r="Z214" i="3"/>
  <c r="X214" i="3"/>
  <c r="V214" i="3"/>
  <c r="R214" i="3"/>
  <c r="S214" i="3" s="1"/>
  <c r="K214" i="3"/>
  <c r="M214" i="3" s="1"/>
  <c r="Z213" i="3"/>
  <c r="X213" i="3"/>
  <c r="V213" i="3"/>
  <c r="R213" i="3"/>
  <c r="S213" i="3" s="1"/>
  <c r="Y213" i="3" s="1"/>
  <c r="M213" i="3"/>
  <c r="Z212" i="3"/>
  <c r="X212" i="3"/>
  <c r="V212" i="3"/>
  <c r="R212" i="3"/>
  <c r="S212" i="3" s="1"/>
  <c r="M212" i="3"/>
  <c r="Z211" i="3"/>
  <c r="X211" i="3"/>
  <c r="V211" i="3"/>
  <c r="R211" i="3"/>
  <c r="S211" i="3" s="1"/>
  <c r="Y211" i="3" s="1"/>
  <c r="K211" i="3"/>
  <c r="M211" i="3" s="1"/>
  <c r="Z210" i="3"/>
  <c r="X210" i="3"/>
  <c r="V210" i="3"/>
  <c r="R210" i="3"/>
  <c r="S210" i="3" s="1"/>
  <c r="K210" i="3"/>
  <c r="M210" i="3" s="1"/>
  <c r="Z209" i="3"/>
  <c r="X209" i="3"/>
  <c r="V209" i="3"/>
  <c r="R209" i="3"/>
  <c r="S209" i="3" s="1"/>
  <c r="T209" i="3" s="1"/>
  <c r="U209" i="3" s="1"/>
  <c r="K209" i="3"/>
  <c r="M209" i="3" s="1"/>
  <c r="Z208" i="3"/>
  <c r="X208" i="3"/>
  <c r="V208" i="3"/>
  <c r="R208" i="3"/>
  <c r="S208" i="3" s="1"/>
  <c r="K208" i="3"/>
  <c r="M208" i="3" s="1"/>
  <c r="Z207" i="3"/>
  <c r="X207" i="3"/>
  <c r="V207" i="3"/>
  <c r="R207" i="3"/>
  <c r="S207" i="3" s="1"/>
  <c r="K207" i="3"/>
  <c r="M207" i="3" s="1"/>
  <c r="Z206" i="3"/>
  <c r="X206" i="3"/>
  <c r="V206" i="3"/>
  <c r="R206" i="3"/>
  <c r="S206" i="3" s="1"/>
  <c r="K206" i="3"/>
  <c r="M206" i="3" s="1"/>
  <c r="Z205" i="3"/>
  <c r="X205" i="3"/>
  <c r="V205" i="3"/>
  <c r="R205" i="3"/>
  <c r="S205" i="3" s="1"/>
  <c r="K205" i="3"/>
  <c r="M205" i="3" s="1"/>
  <c r="Z204" i="3"/>
  <c r="X204" i="3"/>
  <c r="V204" i="3"/>
  <c r="R204" i="3"/>
  <c r="S204" i="3" s="1"/>
  <c r="Y204" i="3" s="1"/>
  <c r="K204" i="3"/>
  <c r="M204" i="3" s="1"/>
  <c r="Z203" i="3"/>
  <c r="X203" i="3"/>
  <c r="V203" i="3"/>
  <c r="R203" i="3"/>
  <c r="S203" i="3" s="1"/>
  <c r="Y203" i="3" s="1"/>
  <c r="M203" i="3"/>
  <c r="Z202" i="3"/>
  <c r="X202" i="3"/>
  <c r="V202" i="3"/>
  <c r="R202" i="3"/>
  <c r="S202" i="3" s="1"/>
  <c r="M202" i="3"/>
  <c r="Z201" i="3"/>
  <c r="X201" i="3"/>
  <c r="V201" i="3"/>
  <c r="R201" i="3"/>
  <c r="S201" i="3" s="1"/>
  <c r="K201" i="3"/>
  <c r="M201" i="3" s="1"/>
  <c r="Z200" i="3"/>
  <c r="X200" i="3"/>
  <c r="V200" i="3"/>
  <c r="R200" i="3"/>
  <c r="S200" i="3" s="1"/>
  <c r="T200" i="3" s="1"/>
  <c r="U200" i="3" s="1"/>
  <c r="K200" i="3"/>
  <c r="M200" i="3" s="1"/>
  <c r="Z199" i="3"/>
  <c r="X199" i="3"/>
  <c r="V199" i="3"/>
  <c r="R199" i="3"/>
  <c r="S199" i="3" s="1"/>
  <c r="M199" i="3"/>
  <c r="Z198" i="3"/>
  <c r="X198" i="3"/>
  <c r="V198" i="3"/>
  <c r="R198" i="3"/>
  <c r="S198" i="3" s="1"/>
  <c r="Y198" i="3" s="1"/>
  <c r="M198" i="3"/>
  <c r="Z197" i="3"/>
  <c r="X197" i="3"/>
  <c r="V197" i="3"/>
  <c r="R197" i="3"/>
  <c r="S197" i="3" s="1"/>
  <c r="M197" i="3"/>
  <c r="Z196" i="3"/>
  <c r="X196" i="3"/>
  <c r="V196" i="3"/>
  <c r="R196" i="3"/>
  <c r="S196" i="3" s="1"/>
  <c r="Y196" i="3" s="1"/>
  <c r="K196" i="3"/>
  <c r="M196" i="3" s="1"/>
  <c r="Z195" i="3"/>
  <c r="X195" i="3"/>
  <c r="V195" i="3"/>
  <c r="R195" i="3"/>
  <c r="S195" i="3" s="1"/>
  <c r="T195" i="3" s="1"/>
  <c r="U195" i="3" s="1"/>
  <c r="K195" i="3"/>
  <c r="M195" i="3" s="1"/>
  <c r="Z194" i="3"/>
  <c r="X194" i="3"/>
  <c r="V194" i="3"/>
  <c r="R194" i="3"/>
  <c r="S194" i="3" s="1"/>
  <c r="Y194" i="3" s="1"/>
  <c r="K194" i="3"/>
  <c r="M194" i="3" s="1"/>
  <c r="Z193" i="3"/>
  <c r="X193" i="3"/>
  <c r="V193" i="3"/>
  <c r="R193" i="3"/>
  <c r="S193" i="3" s="1"/>
  <c r="M193" i="3"/>
  <c r="Z192" i="3"/>
  <c r="X192" i="3"/>
  <c r="V192" i="3"/>
  <c r="R192" i="3"/>
  <c r="S192" i="3" s="1"/>
  <c r="M192" i="3"/>
  <c r="Z191" i="3"/>
  <c r="X191" i="3"/>
  <c r="V191" i="3"/>
  <c r="R191" i="3"/>
  <c r="S191" i="3" s="1"/>
  <c r="K191" i="3"/>
  <c r="Z190" i="3"/>
  <c r="X190" i="3"/>
  <c r="V190" i="3"/>
  <c r="R190" i="3"/>
  <c r="S190" i="3" s="1"/>
  <c r="K190" i="3"/>
  <c r="M190" i="3" s="1"/>
  <c r="Z189" i="3"/>
  <c r="X189" i="3"/>
  <c r="V189" i="3"/>
  <c r="R189" i="3"/>
  <c r="S189" i="3" s="1"/>
  <c r="T189" i="3" s="1"/>
  <c r="U189" i="3" s="1"/>
  <c r="K189" i="3"/>
  <c r="Z188" i="3"/>
  <c r="X188" i="3"/>
  <c r="V188" i="3"/>
  <c r="R188" i="3"/>
  <c r="S188" i="3" s="1"/>
  <c r="T188" i="3" s="1"/>
  <c r="U188" i="3" s="1"/>
  <c r="K188" i="3"/>
  <c r="M188" i="3" s="1"/>
  <c r="Z187" i="3"/>
  <c r="X187" i="3"/>
  <c r="V187" i="3"/>
  <c r="R187" i="3"/>
  <c r="S187" i="3" s="1"/>
  <c r="K187" i="3"/>
  <c r="Z186" i="3"/>
  <c r="X186" i="3"/>
  <c r="V186" i="3"/>
  <c r="R186" i="3"/>
  <c r="S186" i="3" s="1"/>
  <c r="K186" i="3"/>
  <c r="M186" i="3" s="1"/>
  <c r="Z185" i="3"/>
  <c r="X185" i="3"/>
  <c r="V185" i="3"/>
  <c r="R185" i="3"/>
  <c r="S185" i="3" s="1"/>
  <c r="K185" i="3"/>
  <c r="Z184" i="3"/>
  <c r="X184" i="3"/>
  <c r="V184" i="3"/>
  <c r="R184" i="3"/>
  <c r="S184" i="3" s="1"/>
  <c r="Y184" i="3" s="1"/>
  <c r="K184" i="3"/>
  <c r="M184" i="3" s="1"/>
  <c r="Z183" i="3"/>
  <c r="X183" i="3"/>
  <c r="V183" i="3"/>
  <c r="R183" i="3"/>
  <c r="S183" i="3" s="1"/>
  <c r="Z182" i="3"/>
  <c r="X182" i="3"/>
  <c r="V182" i="3"/>
  <c r="R182" i="3"/>
  <c r="S182" i="3" s="1"/>
  <c r="M182" i="3"/>
  <c r="Z181" i="3"/>
  <c r="X181" i="3"/>
  <c r="V181" i="3"/>
  <c r="R181" i="3"/>
  <c r="S181" i="3" s="1"/>
  <c r="T181" i="3" s="1"/>
  <c r="U181" i="3" s="1"/>
  <c r="K181" i="3"/>
  <c r="Z180" i="3"/>
  <c r="X180" i="3"/>
  <c r="V180" i="3"/>
  <c r="R180" i="3"/>
  <c r="S180" i="3" s="1"/>
  <c r="Y180" i="3" s="1"/>
  <c r="K180" i="3"/>
  <c r="Z179" i="3"/>
  <c r="X179" i="3"/>
  <c r="V179" i="3"/>
  <c r="R179" i="3"/>
  <c r="S179" i="3" s="1"/>
  <c r="Y179" i="3" s="1"/>
  <c r="K179" i="3"/>
  <c r="Z178" i="3"/>
  <c r="X178" i="3"/>
  <c r="V178" i="3"/>
  <c r="R178" i="3"/>
  <c r="S178" i="3" s="1"/>
  <c r="Y178" i="3" s="1"/>
  <c r="K178" i="3"/>
  <c r="Z177" i="3"/>
  <c r="X177" i="3"/>
  <c r="V177" i="3"/>
  <c r="R177" i="3"/>
  <c r="S177" i="3" s="1"/>
  <c r="K177" i="3"/>
  <c r="Z176" i="3"/>
  <c r="X176" i="3"/>
  <c r="V176" i="3"/>
  <c r="R176" i="3"/>
  <c r="S176" i="3" s="1"/>
  <c r="K176" i="3"/>
  <c r="Z175" i="3"/>
  <c r="X175" i="3"/>
  <c r="V175" i="3"/>
  <c r="R175" i="3"/>
  <c r="S175" i="3" s="1"/>
  <c r="K175" i="3"/>
  <c r="Z174" i="3"/>
  <c r="X174" i="3"/>
  <c r="V174" i="3"/>
  <c r="R174" i="3"/>
  <c r="S174" i="3" s="1"/>
  <c r="K174" i="3"/>
  <c r="Z173" i="3"/>
  <c r="X173" i="3"/>
  <c r="V173" i="3"/>
  <c r="R173" i="3"/>
  <c r="S173" i="3" s="1"/>
  <c r="Z172" i="3"/>
  <c r="X172" i="3"/>
  <c r="V172" i="3"/>
  <c r="R172" i="3"/>
  <c r="S172" i="3" s="1"/>
  <c r="T172" i="3" s="1"/>
  <c r="U172" i="3" s="1"/>
  <c r="Z171" i="3"/>
  <c r="X171" i="3"/>
  <c r="V171" i="3"/>
  <c r="R171" i="3"/>
  <c r="S171" i="3" s="1"/>
  <c r="K171" i="3"/>
  <c r="M171" i="3" s="1"/>
  <c r="Z170" i="3"/>
  <c r="X170" i="3"/>
  <c r="V170" i="3"/>
  <c r="R170" i="3"/>
  <c r="S170" i="3" s="1"/>
  <c r="K170" i="3"/>
  <c r="M170" i="3" s="1"/>
  <c r="Z169" i="3"/>
  <c r="X169" i="3"/>
  <c r="V169" i="3"/>
  <c r="R169" i="3"/>
  <c r="S169" i="3" s="1"/>
  <c r="Y169" i="3" s="1"/>
  <c r="K169" i="3"/>
  <c r="M169" i="3" s="1"/>
  <c r="Z168" i="3"/>
  <c r="X168" i="3"/>
  <c r="V168" i="3"/>
  <c r="R168" i="3"/>
  <c r="S168" i="3" s="1"/>
  <c r="K168" i="3"/>
  <c r="M168" i="3" s="1"/>
  <c r="Z167" i="3"/>
  <c r="X167" i="3"/>
  <c r="V167" i="3"/>
  <c r="R167" i="3"/>
  <c r="S167" i="3" s="1"/>
  <c r="K167" i="3"/>
  <c r="M167" i="3" s="1"/>
  <c r="Z166" i="3"/>
  <c r="X166" i="3"/>
  <c r="V166" i="3"/>
  <c r="R166" i="3"/>
  <c r="S166" i="3" s="1"/>
  <c r="Y166" i="3" s="1"/>
  <c r="K166" i="3"/>
  <c r="M166" i="3" s="1"/>
  <c r="Z165" i="3"/>
  <c r="X165" i="3"/>
  <c r="V165" i="3"/>
  <c r="R165" i="3"/>
  <c r="S165" i="3" s="1"/>
  <c r="K165" i="3"/>
  <c r="M165" i="3" s="1"/>
  <c r="Z164" i="3"/>
  <c r="X164" i="3"/>
  <c r="V164" i="3"/>
  <c r="R164" i="3"/>
  <c r="S164" i="3" s="1"/>
  <c r="T164" i="3" s="1"/>
  <c r="U164" i="3" s="1"/>
  <c r="K164" i="3"/>
  <c r="M164" i="3" s="1"/>
  <c r="Z163" i="3"/>
  <c r="X163" i="3"/>
  <c r="V163" i="3"/>
  <c r="R163" i="3"/>
  <c r="S163" i="3" s="1"/>
  <c r="M163" i="3"/>
  <c r="Z162" i="3"/>
  <c r="X162" i="3"/>
  <c r="V162" i="3"/>
  <c r="R162" i="3"/>
  <c r="S162" i="3" s="1"/>
  <c r="M162" i="3"/>
  <c r="Z161" i="3"/>
  <c r="K161" i="3"/>
  <c r="J161" i="3" s="1"/>
  <c r="I161" i="3"/>
  <c r="X161" i="3" s="1"/>
  <c r="Z160" i="3"/>
  <c r="K160" i="3"/>
  <c r="Z159" i="3"/>
  <c r="K159" i="3"/>
  <c r="M159" i="3" s="1"/>
  <c r="J159" i="3"/>
  <c r="Z158" i="3"/>
  <c r="K158" i="3"/>
  <c r="I158" i="3" s="1"/>
  <c r="J158" i="3"/>
  <c r="X158" i="3" s="1"/>
  <c r="Z157" i="3"/>
  <c r="K157" i="3"/>
  <c r="J157" i="3" s="1"/>
  <c r="Z156" i="3"/>
  <c r="K156" i="3"/>
  <c r="J156" i="3" s="1"/>
  <c r="Z155" i="3"/>
  <c r="K155" i="3"/>
  <c r="M155" i="3" s="1"/>
  <c r="Z154" i="3"/>
  <c r="K154" i="3"/>
  <c r="I154" i="3" s="1"/>
  <c r="R154" i="3" s="1"/>
  <c r="S154" i="3" s="1"/>
  <c r="J154" i="3"/>
  <c r="V154" i="3" s="1"/>
  <c r="Z153" i="3"/>
  <c r="M153" i="3"/>
  <c r="J153" i="3"/>
  <c r="I153" i="3"/>
  <c r="X153" i="3" s="1"/>
  <c r="Z152" i="3"/>
  <c r="M152" i="3"/>
  <c r="J152" i="3"/>
  <c r="I152" i="3"/>
  <c r="R152" i="3" s="1"/>
  <c r="S152" i="3" s="1"/>
  <c r="Z151" i="3"/>
  <c r="M151" i="3"/>
  <c r="J151" i="3"/>
  <c r="I151" i="3"/>
  <c r="R151" i="3" s="1"/>
  <c r="S151" i="3" s="1"/>
  <c r="Z150" i="3"/>
  <c r="M150" i="3"/>
  <c r="J150" i="3"/>
  <c r="I150" i="3"/>
  <c r="X150" i="3" s="1"/>
  <c r="Z149" i="3"/>
  <c r="X149" i="3"/>
  <c r="M149" i="3"/>
  <c r="J149" i="3"/>
  <c r="I149" i="3"/>
  <c r="V149" i="3" s="1"/>
  <c r="Z148" i="3"/>
  <c r="X148" i="3"/>
  <c r="M148" i="3"/>
  <c r="J148" i="3"/>
  <c r="I148" i="3"/>
  <c r="Z147" i="3"/>
  <c r="X147" i="3"/>
  <c r="K147" i="3"/>
  <c r="M147" i="3" s="1"/>
  <c r="J147" i="3"/>
  <c r="Z146" i="3"/>
  <c r="X146" i="3"/>
  <c r="K146" i="3"/>
  <c r="J146" i="3"/>
  <c r="Z145" i="3"/>
  <c r="X145" i="3"/>
  <c r="V145" i="3"/>
  <c r="R145" i="3"/>
  <c r="S145" i="3" s="1"/>
  <c r="K145" i="3"/>
  <c r="M145" i="3" s="1"/>
  <c r="Z144" i="3"/>
  <c r="X144" i="3"/>
  <c r="K144" i="3"/>
  <c r="I144" i="3" s="1"/>
  <c r="Z143" i="3"/>
  <c r="M143" i="3"/>
  <c r="J143" i="3"/>
  <c r="I143" i="3"/>
  <c r="X143" i="3" s="1"/>
  <c r="Z142" i="3"/>
  <c r="M142" i="3"/>
  <c r="J142" i="3"/>
  <c r="X142" i="3" s="1"/>
  <c r="I142" i="3"/>
  <c r="Z141" i="3"/>
  <c r="X141" i="3"/>
  <c r="V141" i="3"/>
  <c r="R141" i="3"/>
  <c r="S141" i="3" s="1"/>
  <c r="T141" i="3" s="1"/>
  <c r="U141" i="3" s="1"/>
  <c r="K141" i="3"/>
  <c r="M141" i="3" s="1"/>
  <c r="Z140" i="3"/>
  <c r="X140" i="3"/>
  <c r="V140" i="3"/>
  <c r="R140" i="3"/>
  <c r="S140" i="3" s="1"/>
  <c r="Z139" i="3"/>
  <c r="X139" i="3"/>
  <c r="V139" i="3"/>
  <c r="R139" i="3"/>
  <c r="S139" i="3" s="1"/>
  <c r="Y139" i="3" s="1"/>
  <c r="K139" i="3"/>
  <c r="M139" i="3" s="1"/>
  <c r="Z138" i="3"/>
  <c r="X138" i="3"/>
  <c r="V138" i="3"/>
  <c r="R138" i="3"/>
  <c r="S138" i="3" s="1"/>
  <c r="Y138" i="3" s="1"/>
  <c r="Z137" i="3"/>
  <c r="X137" i="3"/>
  <c r="V137" i="3"/>
  <c r="R137" i="3"/>
  <c r="S137" i="3" s="1"/>
  <c r="T137" i="3" s="1"/>
  <c r="U137" i="3" s="1"/>
  <c r="M137" i="3"/>
  <c r="Z136" i="3"/>
  <c r="X136" i="3"/>
  <c r="V136" i="3"/>
  <c r="R136" i="3"/>
  <c r="S136" i="3" s="1"/>
  <c r="Y136" i="3" s="1"/>
  <c r="Z135" i="3"/>
  <c r="X135" i="3"/>
  <c r="V135" i="3"/>
  <c r="R135" i="3"/>
  <c r="S135" i="3" s="1"/>
  <c r="T135" i="3" s="1"/>
  <c r="U135" i="3" s="1"/>
  <c r="K135" i="3"/>
  <c r="M135" i="3" s="1"/>
  <c r="Z134" i="3"/>
  <c r="X134" i="3"/>
  <c r="V134" i="3"/>
  <c r="R134" i="3"/>
  <c r="S134" i="3" s="1"/>
  <c r="T134" i="3" s="1"/>
  <c r="U134" i="3" s="1"/>
  <c r="Z133" i="3"/>
  <c r="X133" i="3"/>
  <c r="V133" i="3"/>
  <c r="F79" i="2" s="1"/>
  <c r="R133" i="3"/>
  <c r="S133" i="3" s="1"/>
  <c r="T133" i="3" s="1"/>
  <c r="U133" i="3" s="1"/>
  <c r="M133" i="3"/>
  <c r="Z132" i="3"/>
  <c r="X132" i="3"/>
  <c r="V132" i="3"/>
  <c r="R132" i="3"/>
  <c r="S132" i="3" s="1"/>
  <c r="Z131" i="3"/>
  <c r="X131" i="3"/>
  <c r="V131" i="3"/>
  <c r="R131" i="3"/>
  <c r="S131" i="3" s="1"/>
  <c r="Y131" i="3" s="1"/>
  <c r="K131" i="3"/>
  <c r="M131" i="3" s="1"/>
  <c r="Z130" i="3"/>
  <c r="X130" i="3"/>
  <c r="V130" i="3"/>
  <c r="R130" i="3"/>
  <c r="S130" i="3" s="1"/>
  <c r="Y130" i="3" s="1"/>
  <c r="K130" i="3"/>
  <c r="M130" i="3" s="1"/>
  <c r="Z129" i="3"/>
  <c r="X129" i="3"/>
  <c r="V129" i="3"/>
  <c r="R129" i="3"/>
  <c r="S129" i="3" s="1"/>
  <c r="T129" i="3" s="1"/>
  <c r="U129" i="3" s="1"/>
  <c r="K129" i="3"/>
  <c r="M129" i="3" s="1"/>
  <c r="Z128" i="3"/>
  <c r="X128" i="3"/>
  <c r="V128" i="3"/>
  <c r="R128" i="3"/>
  <c r="S128" i="3" s="1"/>
  <c r="K128" i="3"/>
  <c r="M128" i="3" s="1"/>
  <c r="Z127" i="3"/>
  <c r="X127" i="3"/>
  <c r="V127" i="3"/>
  <c r="R127" i="3"/>
  <c r="S127" i="3" s="1"/>
  <c r="M127" i="3"/>
  <c r="K127" i="3"/>
  <c r="Z126" i="3"/>
  <c r="X126" i="3"/>
  <c r="V126" i="3"/>
  <c r="R126" i="3"/>
  <c r="S126" i="3" s="1"/>
  <c r="K126" i="3"/>
  <c r="M126" i="3" s="1"/>
  <c r="Z125" i="3"/>
  <c r="X125" i="3"/>
  <c r="V125" i="3"/>
  <c r="R125" i="3"/>
  <c r="S125" i="3" s="1"/>
  <c r="K125" i="3"/>
  <c r="M125" i="3" s="1"/>
  <c r="Z124" i="3"/>
  <c r="X124" i="3"/>
  <c r="V124" i="3"/>
  <c r="R124" i="3"/>
  <c r="S124" i="3" s="1"/>
  <c r="T124" i="3" s="1"/>
  <c r="U124" i="3" s="1"/>
  <c r="M124" i="3"/>
  <c r="K124" i="3"/>
  <c r="Z123" i="3"/>
  <c r="X123" i="3"/>
  <c r="V123" i="3"/>
  <c r="R123" i="3"/>
  <c r="S123" i="3" s="1"/>
  <c r="M123" i="3"/>
  <c r="Z122" i="3"/>
  <c r="X122" i="3"/>
  <c r="V122" i="3"/>
  <c r="R122" i="3"/>
  <c r="S122" i="3" s="1"/>
  <c r="M122" i="3"/>
  <c r="Z121" i="3"/>
  <c r="X121" i="3"/>
  <c r="V121" i="3"/>
  <c r="R121" i="3"/>
  <c r="S121" i="3" s="1"/>
  <c r="Y121" i="3" s="1"/>
  <c r="K121" i="3"/>
  <c r="M121" i="3" s="1"/>
  <c r="Z120" i="3"/>
  <c r="X120" i="3"/>
  <c r="V120" i="3"/>
  <c r="R120" i="3"/>
  <c r="S120" i="3" s="1"/>
  <c r="T120" i="3" s="1"/>
  <c r="U120" i="3" s="1"/>
  <c r="Z119" i="3"/>
  <c r="X119" i="3"/>
  <c r="V119" i="3"/>
  <c r="S119" i="3"/>
  <c r="T119" i="3" s="1"/>
  <c r="U119" i="3" s="1"/>
  <c r="R119" i="3"/>
  <c r="K119" i="3"/>
  <c r="M119" i="3" s="1"/>
  <c r="Z118" i="3"/>
  <c r="X118" i="3"/>
  <c r="V118" i="3"/>
  <c r="R118" i="3"/>
  <c r="S118" i="3" s="1"/>
  <c r="T118" i="3" s="1"/>
  <c r="U118" i="3" s="1"/>
  <c r="Z117" i="3"/>
  <c r="X117" i="3"/>
  <c r="V117" i="3"/>
  <c r="R117" i="3"/>
  <c r="S117" i="3" s="1"/>
  <c r="K117" i="3"/>
  <c r="M117" i="3" s="1"/>
  <c r="Z116" i="3"/>
  <c r="X116" i="3"/>
  <c r="V116" i="3"/>
  <c r="S116" i="3"/>
  <c r="R116" i="3"/>
  <c r="Z115" i="3"/>
  <c r="X115" i="3"/>
  <c r="V115" i="3"/>
  <c r="R115" i="3"/>
  <c r="S115" i="3" s="1"/>
  <c r="K115" i="3"/>
  <c r="M115" i="3" s="1"/>
  <c r="Z114" i="3"/>
  <c r="X114" i="3"/>
  <c r="V114" i="3"/>
  <c r="R114" i="3"/>
  <c r="S114" i="3" s="1"/>
  <c r="Z113" i="3"/>
  <c r="X113" i="3"/>
  <c r="V113" i="3"/>
  <c r="R113" i="3"/>
  <c r="S113" i="3" s="1"/>
  <c r="M113" i="3"/>
  <c r="Z112" i="3"/>
  <c r="X112" i="3"/>
  <c r="V112" i="3"/>
  <c r="R112" i="3"/>
  <c r="S112" i="3" s="1"/>
  <c r="Z111" i="3"/>
  <c r="X111" i="3"/>
  <c r="V111" i="3"/>
  <c r="R111" i="3"/>
  <c r="S111" i="3" s="1"/>
  <c r="K111" i="3"/>
  <c r="M111" i="3" s="1"/>
  <c r="Z110" i="3"/>
  <c r="X110" i="3"/>
  <c r="V110" i="3"/>
  <c r="R110" i="3"/>
  <c r="S110" i="3" s="1"/>
  <c r="Y110" i="3" s="1"/>
  <c r="K110" i="3"/>
  <c r="M110" i="3" s="1"/>
  <c r="Z109" i="3"/>
  <c r="X109" i="3"/>
  <c r="V109" i="3"/>
  <c r="R109" i="3"/>
  <c r="S109" i="3" s="1"/>
  <c r="K109" i="3"/>
  <c r="M109" i="3" s="1"/>
  <c r="Z108" i="3"/>
  <c r="X108" i="3"/>
  <c r="V108" i="3"/>
  <c r="R108" i="3"/>
  <c r="S108" i="3" s="1"/>
  <c r="Y108" i="3" s="1"/>
  <c r="K108" i="3"/>
  <c r="M108" i="3" s="1"/>
  <c r="Z107" i="3"/>
  <c r="X107" i="3"/>
  <c r="V107" i="3"/>
  <c r="R107" i="3"/>
  <c r="S107" i="3" s="1"/>
  <c r="T107" i="3" s="1"/>
  <c r="U107" i="3" s="1"/>
  <c r="K107" i="3"/>
  <c r="M107" i="3" s="1"/>
  <c r="Z106" i="3"/>
  <c r="Y106" i="3"/>
  <c r="X106" i="3"/>
  <c r="V106" i="3"/>
  <c r="R106" i="3"/>
  <c r="S106" i="3" s="1"/>
  <c r="T106" i="3" s="1"/>
  <c r="U106" i="3" s="1"/>
  <c r="K106" i="3"/>
  <c r="M106" i="3" s="1"/>
  <c r="Z105" i="3"/>
  <c r="X105" i="3"/>
  <c r="V105" i="3"/>
  <c r="R105" i="3"/>
  <c r="S105" i="3" s="1"/>
  <c r="M105" i="3"/>
  <c r="Z104" i="3"/>
  <c r="X104" i="3"/>
  <c r="V104" i="3"/>
  <c r="R104" i="3"/>
  <c r="S104" i="3" s="1"/>
  <c r="Y104" i="3" s="1"/>
  <c r="K104" i="3"/>
  <c r="M104" i="3" s="1"/>
  <c r="Z103" i="3"/>
  <c r="X103" i="3"/>
  <c r="V103" i="3"/>
  <c r="R103" i="3"/>
  <c r="S103" i="3" s="1"/>
  <c r="Y103" i="3" s="1"/>
  <c r="Z102" i="3"/>
  <c r="X102" i="3"/>
  <c r="V102" i="3"/>
  <c r="R102" i="3"/>
  <c r="S102" i="3" s="1"/>
  <c r="Y102" i="3" s="1"/>
  <c r="M102" i="3"/>
  <c r="Z101" i="3"/>
  <c r="X101" i="3"/>
  <c r="V101" i="3"/>
  <c r="R101" i="3"/>
  <c r="S101" i="3" s="1"/>
  <c r="Y101" i="3" s="1"/>
  <c r="Z100" i="3"/>
  <c r="X100" i="3"/>
  <c r="V100" i="3"/>
  <c r="R100" i="3"/>
  <c r="S100" i="3" s="1"/>
  <c r="K100" i="3"/>
  <c r="M100" i="3" s="1"/>
  <c r="Z99" i="3"/>
  <c r="X99" i="3"/>
  <c r="V99" i="3"/>
  <c r="R99" i="3"/>
  <c r="S99" i="3" s="1"/>
  <c r="Y99" i="3" s="1"/>
  <c r="Z98" i="3"/>
  <c r="X98" i="3"/>
  <c r="V98" i="3"/>
  <c r="R98" i="3"/>
  <c r="S98" i="3" s="1"/>
  <c r="Y98" i="3" s="1"/>
  <c r="K98" i="3"/>
  <c r="M98" i="3" s="1"/>
  <c r="Z97" i="3"/>
  <c r="X97" i="3"/>
  <c r="V97" i="3"/>
  <c r="R97" i="3"/>
  <c r="S97" i="3" s="1"/>
  <c r="Z96" i="3"/>
  <c r="X96" i="3"/>
  <c r="V96" i="3"/>
  <c r="R96" i="3"/>
  <c r="S96" i="3" s="1"/>
  <c r="K96" i="3"/>
  <c r="M96" i="3" s="1"/>
  <c r="Z95" i="3"/>
  <c r="X95" i="3"/>
  <c r="V95" i="3"/>
  <c r="R95" i="3"/>
  <c r="S95" i="3" s="1"/>
  <c r="Z94" i="3"/>
  <c r="X94" i="3"/>
  <c r="V94" i="3"/>
  <c r="R94" i="3"/>
  <c r="S94" i="3" s="1"/>
  <c r="M94" i="3"/>
  <c r="Z93" i="3"/>
  <c r="X93" i="3"/>
  <c r="V93" i="3"/>
  <c r="R93" i="3"/>
  <c r="S93" i="3" s="1"/>
  <c r="Z92" i="3"/>
  <c r="X92" i="3"/>
  <c r="V92" i="3"/>
  <c r="R92" i="3"/>
  <c r="S92" i="3" s="1"/>
  <c r="Y92" i="3" s="1"/>
  <c r="M92" i="3"/>
  <c r="Z91" i="3"/>
  <c r="X91" i="3"/>
  <c r="V91" i="3"/>
  <c r="R91" i="3"/>
  <c r="S91" i="3" s="1"/>
  <c r="K91" i="3"/>
  <c r="Z90" i="3"/>
  <c r="X90" i="3"/>
  <c r="V90" i="3"/>
  <c r="R90" i="3"/>
  <c r="S90" i="3" s="1"/>
  <c r="K90" i="3"/>
  <c r="M90" i="3" s="1"/>
  <c r="Z89" i="3"/>
  <c r="X89" i="3"/>
  <c r="V89" i="3"/>
  <c r="R89" i="3"/>
  <c r="S89" i="3" s="1"/>
  <c r="T89" i="3" s="1"/>
  <c r="U89" i="3" s="1"/>
  <c r="K89" i="3"/>
  <c r="Z88" i="3"/>
  <c r="X88" i="3"/>
  <c r="V88" i="3"/>
  <c r="R88" i="3"/>
  <c r="S88" i="3" s="1"/>
  <c r="K88" i="3"/>
  <c r="M88" i="3" s="1"/>
  <c r="Z87" i="3"/>
  <c r="X87" i="3"/>
  <c r="V87" i="3"/>
  <c r="R87" i="3"/>
  <c r="S87" i="3" s="1"/>
  <c r="Z86" i="3"/>
  <c r="X86" i="3"/>
  <c r="V86" i="3"/>
  <c r="R86" i="3"/>
  <c r="S86" i="3" s="1"/>
  <c r="M86" i="3"/>
  <c r="Z85" i="3"/>
  <c r="X85" i="3"/>
  <c r="V85" i="3"/>
  <c r="R85" i="3"/>
  <c r="S85" i="3" s="1"/>
  <c r="K85" i="3"/>
  <c r="Z84" i="3"/>
  <c r="X84" i="3"/>
  <c r="V84" i="3"/>
  <c r="R84" i="3"/>
  <c r="S84" i="3" s="1"/>
  <c r="T84" i="3" s="1"/>
  <c r="U84" i="3" s="1"/>
  <c r="K84" i="3"/>
  <c r="M84" i="3" s="1"/>
  <c r="Z83" i="3"/>
  <c r="X83" i="3"/>
  <c r="V83" i="3"/>
  <c r="R83" i="3"/>
  <c r="S83" i="3" s="1"/>
  <c r="Y83" i="3" s="1"/>
  <c r="Z82" i="3"/>
  <c r="X82" i="3"/>
  <c r="V82" i="3"/>
  <c r="R82" i="3"/>
  <c r="S82" i="3" s="1"/>
  <c r="T82" i="3" s="1"/>
  <c r="U82" i="3" s="1"/>
  <c r="M82" i="3"/>
  <c r="Z81" i="3"/>
  <c r="X81" i="3"/>
  <c r="V81" i="3"/>
  <c r="R81" i="3"/>
  <c r="S81" i="3" s="1"/>
  <c r="T81" i="3" s="1"/>
  <c r="U81" i="3" s="1"/>
  <c r="K81" i="3"/>
  <c r="M81" i="3" s="1"/>
  <c r="Z80" i="3"/>
  <c r="X80" i="3"/>
  <c r="V80" i="3"/>
  <c r="R80" i="3"/>
  <c r="S80" i="3" s="1"/>
  <c r="Y80" i="3" s="1"/>
  <c r="Z79" i="3"/>
  <c r="X79" i="3"/>
  <c r="V79" i="3"/>
  <c r="R79" i="3"/>
  <c r="S79" i="3" s="1"/>
  <c r="Y79" i="3" s="1"/>
  <c r="K79" i="3"/>
  <c r="M79" i="3" s="1"/>
  <c r="Z78" i="3"/>
  <c r="X78" i="3"/>
  <c r="V78" i="3"/>
  <c r="R78" i="3"/>
  <c r="S78" i="3" s="1"/>
  <c r="Z77" i="3"/>
  <c r="X77" i="3"/>
  <c r="V77" i="3"/>
  <c r="R77" i="3"/>
  <c r="S77" i="3" s="1"/>
  <c r="Y77" i="3" s="1"/>
  <c r="M77" i="3"/>
  <c r="Z76" i="3"/>
  <c r="X76" i="3"/>
  <c r="V76" i="3"/>
  <c r="R76" i="3"/>
  <c r="S76" i="3" s="1"/>
  <c r="Y76" i="3" s="1"/>
  <c r="Z75" i="3"/>
  <c r="X75" i="3"/>
  <c r="V75" i="3"/>
  <c r="R75" i="3"/>
  <c r="S75" i="3" s="1"/>
  <c r="Z74" i="3"/>
  <c r="X74" i="3"/>
  <c r="V74" i="3"/>
  <c r="R74" i="3"/>
  <c r="S74" i="3" s="1"/>
  <c r="Y74" i="3" s="1"/>
  <c r="Z73" i="3"/>
  <c r="Y73" i="3"/>
  <c r="X73" i="3"/>
  <c r="V73" i="3"/>
  <c r="S73" i="3"/>
  <c r="T73" i="3" s="1"/>
  <c r="U73" i="3" s="1"/>
  <c r="R73" i="3"/>
  <c r="Z72" i="3"/>
  <c r="X72" i="3"/>
  <c r="V72" i="3"/>
  <c r="R72" i="3"/>
  <c r="S72" i="3" s="1"/>
  <c r="Y72" i="3" s="1"/>
  <c r="Z71" i="3"/>
  <c r="X71" i="3"/>
  <c r="V71" i="3"/>
  <c r="R71" i="3"/>
  <c r="S71" i="3" s="1"/>
  <c r="T71" i="3" s="1"/>
  <c r="U71" i="3" s="1"/>
  <c r="K71" i="3"/>
  <c r="Z70" i="3"/>
  <c r="X70" i="3"/>
  <c r="V70" i="3"/>
  <c r="R70" i="3"/>
  <c r="S70" i="3" s="1"/>
  <c r="K70" i="3"/>
  <c r="M70" i="3" s="1"/>
  <c r="Z69" i="3"/>
  <c r="X69" i="3"/>
  <c r="V69" i="3"/>
  <c r="R69" i="3"/>
  <c r="S69" i="3" s="1"/>
  <c r="K69" i="3"/>
  <c r="Z68" i="3"/>
  <c r="X68" i="3"/>
  <c r="V68" i="3"/>
  <c r="R68" i="3"/>
  <c r="S68" i="3" s="1"/>
  <c r="T68" i="3" s="1"/>
  <c r="U68" i="3" s="1"/>
  <c r="K68" i="3"/>
  <c r="M68" i="3" s="1"/>
  <c r="Z67" i="3"/>
  <c r="X67" i="3"/>
  <c r="V67" i="3"/>
  <c r="R67" i="3"/>
  <c r="S67" i="3" s="1"/>
  <c r="Y67" i="3" s="1"/>
  <c r="K67" i="3"/>
  <c r="Z66" i="3"/>
  <c r="X66" i="3"/>
  <c r="V66" i="3"/>
  <c r="R66" i="3"/>
  <c r="S66" i="3" s="1"/>
  <c r="K66" i="3"/>
  <c r="M66" i="3" s="1"/>
  <c r="Z65" i="3"/>
  <c r="X65" i="3"/>
  <c r="V65" i="3"/>
  <c r="R65" i="3"/>
  <c r="S65" i="3" s="1"/>
  <c r="T65" i="3" s="1"/>
  <c r="U65" i="3" s="1"/>
  <c r="K65" i="3"/>
  <c r="Z64" i="3"/>
  <c r="X64" i="3"/>
  <c r="V64" i="3"/>
  <c r="R64" i="3"/>
  <c r="S64" i="3" s="1"/>
  <c r="M64" i="3"/>
  <c r="K64" i="3"/>
  <c r="Z63" i="3"/>
  <c r="X63" i="3"/>
  <c r="V63" i="3"/>
  <c r="R63" i="3"/>
  <c r="S63" i="3" s="1"/>
  <c r="Z62" i="3"/>
  <c r="X62" i="3"/>
  <c r="V62" i="3"/>
  <c r="R62" i="3"/>
  <c r="S62" i="3" s="1"/>
  <c r="M62" i="3"/>
  <c r="Z61" i="3"/>
  <c r="X61" i="3"/>
  <c r="V61" i="3"/>
  <c r="R61" i="3"/>
  <c r="S61" i="3" s="1"/>
  <c r="Y61" i="3" s="1"/>
  <c r="K61" i="3"/>
  <c r="Z60" i="3"/>
  <c r="X60" i="3"/>
  <c r="V60" i="3"/>
  <c r="R60" i="3"/>
  <c r="S60" i="3" s="1"/>
  <c r="Z59" i="3"/>
  <c r="X59" i="3"/>
  <c r="V59" i="3"/>
  <c r="R59" i="3"/>
  <c r="S59" i="3" s="1"/>
  <c r="Y59" i="3" s="1"/>
  <c r="K59" i="3"/>
  <c r="Z58" i="3"/>
  <c r="X58" i="3"/>
  <c r="V58" i="3"/>
  <c r="R58" i="3"/>
  <c r="S58" i="3" s="1"/>
  <c r="Y58" i="3" s="1"/>
  <c r="Z57" i="3"/>
  <c r="X57" i="3"/>
  <c r="V57" i="3"/>
  <c r="S57" i="3"/>
  <c r="Y57" i="3" s="1"/>
  <c r="R57" i="3"/>
  <c r="K57" i="3"/>
  <c r="Z56" i="3"/>
  <c r="X56" i="3"/>
  <c r="V56" i="3"/>
  <c r="R56" i="3"/>
  <c r="S56" i="3" s="1"/>
  <c r="Z55" i="3"/>
  <c r="X55" i="3"/>
  <c r="V55" i="3"/>
  <c r="R55" i="3"/>
  <c r="S55" i="3" s="1"/>
  <c r="T55" i="3" s="1"/>
  <c r="U55" i="3" s="1"/>
  <c r="K55" i="3"/>
  <c r="Z54" i="3"/>
  <c r="X54" i="3"/>
  <c r="V54" i="3"/>
  <c r="R54" i="3"/>
  <c r="S54" i="3" s="1"/>
  <c r="T54" i="3" s="1"/>
  <c r="U54" i="3" s="1"/>
  <c r="Z53" i="3"/>
  <c r="X53" i="3"/>
  <c r="V53" i="3"/>
  <c r="R53" i="3"/>
  <c r="S53" i="3" s="1"/>
  <c r="T53" i="3" s="1"/>
  <c r="U53" i="3" s="1"/>
  <c r="Z52" i="3"/>
  <c r="X52" i="3"/>
  <c r="V52" i="3"/>
  <c r="R52" i="3"/>
  <c r="S52" i="3" s="1"/>
  <c r="T52" i="3" s="1"/>
  <c r="U52" i="3" s="1"/>
  <c r="Z51" i="3"/>
  <c r="X51" i="3"/>
  <c r="V51" i="3"/>
  <c r="S51" i="3"/>
  <c r="T51" i="3" s="1"/>
  <c r="U51" i="3" s="1"/>
  <c r="R51" i="3"/>
  <c r="K51" i="3"/>
  <c r="Z50" i="3"/>
  <c r="X50" i="3"/>
  <c r="V50" i="3"/>
  <c r="R50" i="3"/>
  <c r="S50" i="3" s="1"/>
  <c r="T50" i="3" s="1"/>
  <c r="U50" i="3" s="1"/>
  <c r="K50" i="3"/>
  <c r="Z49" i="3"/>
  <c r="X49" i="3"/>
  <c r="V49" i="3"/>
  <c r="R49" i="3"/>
  <c r="S49" i="3" s="1"/>
  <c r="T49" i="3" s="1"/>
  <c r="U49" i="3" s="1"/>
  <c r="K49" i="3"/>
  <c r="Z48" i="3"/>
  <c r="X48" i="3"/>
  <c r="V48" i="3"/>
  <c r="R48" i="3"/>
  <c r="S48" i="3" s="1"/>
  <c r="K48" i="3"/>
  <c r="Z47" i="3"/>
  <c r="X47" i="3"/>
  <c r="V47" i="3"/>
  <c r="R47" i="3"/>
  <c r="S47" i="3" s="1"/>
  <c r="Y47" i="3" s="1"/>
  <c r="K47" i="3"/>
  <c r="Z46" i="3"/>
  <c r="X46" i="3"/>
  <c r="V46" i="3"/>
  <c r="R46" i="3"/>
  <c r="S46" i="3" s="1"/>
  <c r="K46" i="3"/>
  <c r="Z45" i="3"/>
  <c r="X45" i="3"/>
  <c r="V45" i="3"/>
  <c r="R45" i="3"/>
  <c r="S45" i="3" s="1"/>
  <c r="Y45" i="3" s="1"/>
  <c r="K45" i="3"/>
  <c r="Z44" i="3"/>
  <c r="X44" i="3"/>
  <c r="V44" i="3"/>
  <c r="R44" i="3"/>
  <c r="S44" i="3" s="1"/>
  <c r="K44" i="3"/>
  <c r="Z43" i="3"/>
  <c r="X43" i="3"/>
  <c r="V43" i="3"/>
  <c r="R43" i="3"/>
  <c r="S43" i="3" s="1"/>
  <c r="Z42" i="3"/>
  <c r="X42" i="3"/>
  <c r="V42" i="3"/>
  <c r="R42" i="3"/>
  <c r="S42" i="3" s="1"/>
  <c r="Z41" i="3"/>
  <c r="X41" i="3"/>
  <c r="V41" i="3"/>
  <c r="R41" i="3"/>
  <c r="S41" i="3" s="1"/>
  <c r="K41" i="3"/>
  <c r="M41" i="3" s="1"/>
  <c r="Z40" i="3"/>
  <c r="X40" i="3"/>
  <c r="V40" i="3"/>
  <c r="R40" i="3"/>
  <c r="S40" i="3" s="1"/>
  <c r="T40" i="3" s="1"/>
  <c r="U40" i="3" s="1"/>
  <c r="K40" i="3"/>
  <c r="M40" i="3" s="1"/>
  <c r="Z39" i="3"/>
  <c r="X39" i="3"/>
  <c r="V39" i="3"/>
  <c r="R39" i="3"/>
  <c r="S39" i="3" s="1"/>
  <c r="M39" i="3"/>
  <c r="Z38" i="3"/>
  <c r="X38" i="3"/>
  <c r="V38" i="3"/>
  <c r="R38" i="3"/>
  <c r="S38" i="3" s="1"/>
  <c r="T38" i="3" s="1"/>
  <c r="U38" i="3" s="1"/>
  <c r="K38" i="3"/>
  <c r="M38" i="3" s="1"/>
  <c r="Z37" i="3"/>
  <c r="X37" i="3"/>
  <c r="V37" i="3"/>
  <c r="R37" i="3"/>
  <c r="S37" i="3" s="1"/>
  <c r="K37" i="3"/>
  <c r="Z36" i="3"/>
  <c r="X36" i="3"/>
  <c r="V36" i="3"/>
  <c r="R36" i="3"/>
  <c r="S36" i="3" s="1"/>
  <c r="K36" i="3"/>
  <c r="M36" i="3" s="1"/>
  <c r="Z35" i="3"/>
  <c r="X35" i="3"/>
  <c r="V35" i="3"/>
  <c r="R35" i="3"/>
  <c r="S35" i="3" s="1"/>
  <c r="Z34" i="3"/>
  <c r="X34" i="3"/>
  <c r="V34" i="3"/>
  <c r="R34" i="3"/>
  <c r="S34" i="3" s="1"/>
  <c r="K34" i="3"/>
  <c r="M34" i="3" s="1"/>
  <c r="Z33" i="3"/>
  <c r="X33" i="3"/>
  <c r="V33" i="3"/>
  <c r="R33" i="3"/>
  <c r="S33" i="3" s="1"/>
  <c r="M33" i="3"/>
  <c r="Z32" i="3"/>
  <c r="X32" i="3"/>
  <c r="V32" i="3"/>
  <c r="R32" i="3"/>
  <c r="S32" i="3" s="1"/>
  <c r="Y32" i="3" s="1"/>
  <c r="M32" i="3"/>
  <c r="Z31" i="3"/>
  <c r="X31" i="3"/>
  <c r="V31" i="3"/>
  <c r="R31" i="3"/>
  <c r="S31" i="3" s="1"/>
  <c r="Y31" i="3" s="1"/>
  <c r="Z30" i="3"/>
  <c r="X30" i="3"/>
  <c r="V30" i="3"/>
  <c r="R30" i="3"/>
  <c r="S30" i="3" s="1"/>
  <c r="Y30" i="3" s="1"/>
  <c r="Z29" i="3"/>
  <c r="X29" i="3"/>
  <c r="V29" i="3"/>
  <c r="S29" i="3"/>
  <c r="R29" i="3"/>
  <c r="M29" i="3"/>
  <c r="K29" i="3"/>
  <c r="Z28" i="3"/>
  <c r="X28" i="3"/>
  <c r="V28" i="3"/>
  <c r="R28" i="3"/>
  <c r="S28" i="3" s="1"/>
  <c r="K28" i="3"/>
  <c r="M28" i="3" s="1"/>
  <c r="Z27" i="3"/>
  <c r="X27" i="3"/>
  <c r="V27" i="3"/>
  <c r="R27" i="3"/>
  <c r="S27" i="3" s="1"/>
  <c r="K27" i="3"/>
  <c r="M27" i="3" s="1"/>
  <c r="Z26" i="3"/>
  <c r="X26" i="3"/>
  <c r="V26" i="3"/>
  <c r="R26" i="3"/>
  <c r="S26" i="3" s="1"/>
  <c r="M26" i="3"/>
  <c r="K26" i="3"/>
  <c r="Z25" i="3"/>
  <c r="X25" i="3"/>
  <c r="V25" i="3"/>
  <c r="R25" i="3"/>
  <c r="S25" i="3" s="1"/>
  <c r="K25" i="3"/>
  <c r="M25" i="3" s="1"/>
  <c r="Z24" i="3"/>
  <c r="X24" i="3"/>
  <c r="V24" i="3"/>
  <c r="R24" i="3"/>
  <c r="S24" i="3" s="1"/>
  <c r="T24" i="3" s="1"/>
  <c r="U24" i="3" s="1"/>
  <c r="K24" i="3"/>
  <c r="M24" i="3" s="1"/>
  <c r="Z23" i="3"/>
  <c r="X23" i="3"/>
  <c r="V23" i="3"/>
  <c r="R23" i="3"/>
  <c r="S23" i="3" s="1"/>
  <c r="M23" i="3"/>
  <c r="Z22" i="3"/>
  <c r="X22" i="3"/>
  <c r="V22" i="3"/>
  <c r="R22" i="3"/>
  <c r="S22" i="3" s="1"/>
  <c r="M22" i="3"/>
  <c r="Z21" i="3"/>
  <c r="X21" i="3"/>
  <c r="V21" i="3"/>
  <c r="R21" i="3"/>
  <c r="S21" i="3" s="1"/>
  <c r="T21" i="3" s="1"/>
  <c r="U21" i="3" s="1"/>
  <c r="K21" i="3"/>
  <c r="Z20" i="3"/>
  <c r="X20" i="3"/>
  <c r="V20" i="3"/>
  <c r="R20" i="3"/>
  <c r="S20" i="3" s="1"/>
  <c r="K20" i="3"/>
  <c r="M20" i="3" s="1"/>
  <c r="Z19" i="3"/>
  <c r="X19" i="3"/>
  <c r="V19" i="3"/>
  <c r="R19" i="3"/>
  <c r="S19" i="3" s="1"/>
  <c r="T19" i="3" s="1"/>
  <c r="U19" i="3" s="1"/>
  <c r="Z18" i="3"/>
  <c r="X18" i="3"/>
  <c r="V18" i="3"/>
  <c r="R18" i="3"/>
  <c r="S18" i="3" s="1"/>
  <c r="K18" i="3"/>
  <c r="M18" i="3" s="1"/>
  <c r="Z17" i="3"/>
  <c r="X17" i="3"/>
  <c r="V17" i="3"/>
  <c r="R17" i="3"/>
  <c r="S17" i="3" s="1"/>
  <c r="T17" i="3" s="1"/>
  <c r="U17" i="3" s="1"/>
  <c r="K17" i="3"/>
  <c r="M17" i="3" s="1"/>
  <c r="Z16" i="3"/>
  <c r="X16" i="3"/>
  <c r="V16" i="3"/>
  <c r="R16" i="3"/>
  <c r="S16" i="3" s="1"/>
  <c r="K16" i="3"/>
  <c r="M16" i="3" s="1"/>
  <c r="Z15" i="3"/>
  <c r="X15" i="3"/>
  <c r="V15" i="3"/>
  <c r="R15" i="3"/>
  <c r="S15" i="3" s="1"/>
  <c r="K15" i="3"/>
  <c r="M15" i="3" s="1"/>
  <c r="Z14" i="3"/>
  <c r="X14" i="3"/>
  <c r="V14" i="3"/>
  <c r="R14" i="3"/>
  <c r="S14" i="3" s="1"/>
  <c r="K14" i="3"/>
  <c r="M14" i="3" s="1"/>
  <c r="Z13" i="3"/>
  <c r="X13" i="3"/>
  <c r="V13" i="3"/>
  <c r="R13" i="3"/>
  <c r="S13" i="3" s="1"/>
  <c r="Y13" i="3" s="1"/>
  <c r="M13" i="3"/>
  <c r="Z12" i="3"/>
  <c r="X12" i="3"/>
  <c r="V12" i="3"/>
  <c r="R12" i="3"/>
  <c r="S12" i="3" s="1"/>
  <c r="M12" i="3"/>
  <c r="Z11" i="3"/>
  <c r="X11" i="3"/>
  <c r="V11" i="3"/>
  <c r="R11" i="3"/>
  <c r="S11" i="3" s="1"/>
  <c r="K11" i="3"/>
  <c r="M11" i="3" s="1"/>
  <c r="Z10" i="3"/>
  <c r="X10" i="3"/>
  <c r="V10" i="3"/>
  <c r="R10" i="3"/>
  <c r="S10" i="3" s="1"/>
  <c r="Y10" i="3" s="1"/>
  <c r="K10" i="3"/>
  <c r="Z9" i="3"/>
  <c r="X9" i="3"/>
  <c r="V9" i="3"/>
  <c r="R9" i="3"/>
  <c r="S9" i="3" s="1"/>
  <c r="Z8" i="3"/>
  <c r="X8" i="3"/>
  <c r="V8" i="3"/>
  <c r="R8" i="3"/>
  <c r="S8" i="3" s="1"/>
  <c r="Y8" i="3" s="1"/>
  <c r="K8" i="3"/>
  <c r="Z7" i="3"/>
  <c r="X7" i="3"/>
  <c r="V7" i="3"/>
  <c r="R7" i="3"/>
  <c r="S7" i="3" s="1"/>
  <c r="K7" i="3"/>
  <c r="Z6" i="3"/>
  <c r="X6" i="3"/>
  <c r="V6" i="3"/>
  <c r="R6" i="3"/>
  <c r="S6" i="3" s="1"/>
  <c r="Y6" i="3" s="1"/>
  <c r="K6" i="3"/>
  <c r="Z5" i="3"/>
  <c r="X5" i="3"/>
  <c r="V5" i="3"/>
  <c r="R5" i="3"/>
  <c r="S5" i="3" s="1"/>
  <c r="Z4" i="3"/>
  <c r="X4" i="3"/>
  <c r="V4" i="3"/>
  <c r="R4" i="3"/>
  <c r="S4" i="3" s="1"/>
  <c r="Y4" i="3" s="1"/>
  <c r="Z3" i="3"/>
  <c r="X3" i="3"/>
  <c r="V3" i="3"/>
  <c r="R3" i="3"/>
  <c r="S3" i="3" s="1"/>
  <c r="T3" i="3" s="1"/>
  <c r="U3" i="3" s="1"/>
  <c r="Z2" i="3"/>
  <c r="X2" i="3"/>
  <c r="V2" i="3"/>
  <c r="R2" i="3"/>
  <c r="S2" i="3" s="1"/>
  <c r="D103" i="2"/>
  <c r="G93" i="2"/>
  <c r="G92" i="2"/>
  <c r="G91" i="2"/>
  <c r="G90" i="2"/>
  <c r="G89" i="2"/>
  <c r="G88" i="2"/>
  <c r="G87" i="2"/>
  <c r="G86" i="2"/>
  <c r="G85" i="2"/>
  <c r="G84" i="2"/>
  <c r="G83" i="2"/>
  <c r="C83" i="2"/>
  <c r="B83" i="2"/>
  <c r="G82" i="2"/>
  <c r="G81" i="2"/>
  <c r="G80" i="2"/>
  <c r="G79" i="2"/>
  <c r="G78" i="2"/>
  <c r="G77" i="2"/>
  <c r="G76" i="2"/>
  <c r="G75" i="2"/>
  <c r="G74" i="2"/>
  <c r="G73" i="2"/>
  <c r="G72" i="2"/>
  <c r="G71" i="2"/>
  <c r="C71" i="2"/>
  <c r="B71" i="2"/>
  <c r="G70" i="2"/>
  <c r="C70" i="2"/>
  <c r="B70" i="2"/>
  <c r="G69" i="2"/>
  <c r="G68" i="2"/>
  <c r="G67" i="2"/>
  <c r="G66" i="2"/>
  <c r="B19" i="2"/>
  <c r="C19" i="2" s="1"/>
  <c r="B18" i="2"/>
  <c r="C18" i="2" s="1"/>
  <c r="B17" i="2"/>
  <c r="C17" i="2" s="1"/>
  <c r="B16" i="2"/>
  <c r="C16" i="2" s="1"/>
  <c r="B15" i="2"/>
  <c r="C15" i="2" s="1"/>
  <c r="B14" i="2"/>
  <c r="C14" i="2" s="1"/>
  <c r="B11" i="2"/>
  <c r="B10" i="2"/>
  <c r="B9" i="2"/>
  <c r="B6" i="2"/>
  <c r="B5" i="2"/>
  <c r="B4" i="2"/>
  <c r="T244" i="3" l="1"/>
  <c r="U244" i="3" s="1"/>
  <c r="Y244" i="3"/>
  <c r="Y240" i="3"/>
  <c r="T240" i="3"/>
  <c r="U240" i="3" s="1"/>
  <c r="Y132" i="3"/>
  <c r="T132" i="3"/>
  <c r="U132" i="3" s="1"/>
  <c r="Y114" i="3"/>
  <c r="T114" i="3"/>
  <c r="U114" i="3" s="1"/>
  <c r="T242" i="3"/>
  <c r="U242" i="3" s="1"/>
  <c r="Y242" i="3"/>
  <c r="T271" i="3"/>
  <c r="U271" i="3" s="1"/>
  <c r="Y271" i="3"/>
  <c r="Y235" i="3"/>
  <c r="T235" i="3"/>
  <c r="U235" i="3" s="1"/>
  <c r="B89" i="2" s="1"/>
  <c r="T105" i="3"/>
  <c r="U105" i="3" s="1"/>
  <c r="Y105" i="3"/>
  <c r="Y119" i="3"/>
  <c r="T246" i="3"/>
  <c r="U246" i="3" s="1"/>
  <c r="T269" i="3"/>
  <c r="U269" i="3" s="1"/>
  <c r="Y141" i="3"/>
  <c r="M161" i="3"/>
  <c r="Y195" i="3"/>
  <c r="T236" i="3"/>
  <c r="U236" i="3" s="1"/>
  <c r="R143" i="3"/>
  <c r="S143" i="3" s="1"/>
  <c r="Y143" i="3" s="1"/>
  <c r="V150" i="3"/>
  <c r="F92" i="2"/>
  <c r="F72" i="2"/>
  <c r="M144" i="3"/>
  <c r="M154" i="3"/>
  <c r="Y50" i="3"/>
  <c r="V142" i="3"/>
  <c r="F41" i="2" s="1"/>
  <c r="Y189" i="3"/>
  <c r="Y181" i="3"/>
  <c r="F90" i="2"/>
  <c r="R153" i="3"/>
  <c r="S153" i="3" s="1"/>
  <c r="Y153" i="3" s="1"/>
  <c r="Y134" i="3"/>
  <c r="F54" i="2"/>
  <c r="T59" i="3"/>
  <c r="U59" i="3" s="1"/>
  <c r="F66" i="2"/>
  <c r="F76" i="2"/>
  <c r="F78" i="2"/>
  <c r="Y224" i="3"/>
  <c r="Y33" i="3"/>
  <c r="T33" i="3"/>
  <c r="U33" i="3" s="1"/>
  <c r="T28" i="3"/>
  <c r="U28" i="3" s="1"/>
  <c r="Y28" i="3"/>
  <c r="Y272" i="3"/>
  <c r="T272" i="3"/>
  <c r="U272" i="3" s="1"/>
  <c r="T125" i="3"/>
  <c r="U125" i="3" s="1"/>
  <c r="Y125" i="3"/>
  <c r="Y78" i="3"/>
  <c r="T78" i="3"/>
  <c r="U78" i="3" s="1"/>
  <c r="T112" i="3"/>
  <c r="U112" i="3" s="1"/>
  <c r="Y112" i="3"/>
  <c r="T20" i="3"/>
  <c r="U20" i="3" s="1"/>
  <c r="Y20" i="3"/>
  <c r="Y185" i="3"/>
  <c r="T185" i="3"/>
  <c r="U185" i="3" s="1"/>
  <c r="T216" i="3"/>
  <c r="U216" i="3" s="1"/>
  <c r="Y216" i="3"/>
  <c r="T41" i="3"/>
  <c r="U41" i="3" s="1"/>
  <c r="Y41" i="3"/>
  <c r="Y100" i="3"/>
  <c r="T100" i="3"/>
  <c r="U100" i="3" s="1"/>
  <c r="Y245" i="3"/>
  <c r="T245" i="3"/>
  <c r="U245" i="3" s="1"/>
  <c r="T43" i="3"/>
  <c r="U43" i="3" s="1"/>
  <c r="Y43" i="3"/>
  <c r="Y85" i="3"/>
  <c r="T85" i="3"/>
  <c r="U85" i="3" s="1"/>
  <c r="Y241" i="3"/>
  <c r="T241" i="3"/>
  <c r="U241" i="3" s="1"/>
  <c r="Y11" i="3"/>
  <c r="T11" i="3"/>
  <c r="U11" i="3" s="1"/>
  <c r="Y87" i="3"/>
  <c r="T87" i="3"/>
  <c r="U87" i="3" s="1"/>
  <c r="T190" i="3"/>
  <c r="U190" i="3" s="1"/>
  <c r="Y190" i="3"/>
  <c r="Y261" i="3"/>
  <c r="T261" i="3"/>
  <c r="U261" i="3" s="1"/>
  <c r="F71" i="2"/>
  <c r="Y38" i="3"/>
  <c r="M157" i="3"/>
  <c r="T169" i="3"/>
  <c r="U169" i="3" s="1"/>
  <c r="Y188" i="3"/>
  <c r="Y3" i="3"/>
  <c r="V152" i="3"/>
  <c r="R161" i="3"/>
  <c r="S161" i="3" s="1"/>
  <c r="Y161" i="3" s="1"/>
  <c r="T184" i="3"/>
  <c r="U184" i="3" s="1"/>
  <c r="T83" i="3"/>
  <c r="U83" i="3" s="1"/>
  <c r="I155" i="3"/>
  <c r="X155" i="3" s="1"/>
  <c r="V161" i="3"/>
  <c r="T31" i="3"/>
  <c r="U31" i="3" s="1"/>
  <c r="T103" i="3"/>
  <c r="U103" i="3" s="1"/>
  <c r="Y21" i="3"/>
  <c r="Y129" i="3"/>
  <c r="J155" i="3"/>
  <c r="T238" i="3"/>
  <c r="U238" i="3" s="1"/>
  <c r="T267" i="3"/>
  <c r="U267" i="3" s="1"/>
  <c r="T277" i="3"/>
  <c r="U277" i="3" s="1"/>
  <c r="Y19" i="3"/>
  <c r="Y65" i="3"/>
  <c r="T57" i="3"/>
  <c r="U57" i="3" s="1"/>
  <c r="T101" i="3"/>
  <c r="U101" i="3" s="1"/>
  <c r="T138" i="3"/>
  <c r="U138" i="3" s="1"/>
  <c r="I159" i="3"/>
  <c r="V159" i="3" s="1"/>
  <c r="T179" i="3"/>
  <c r="U179" i="3" s="1"/>
  <c r="F88" i="2"/>
  <c r="Y259" i="3"/>
  <c r="F69" i="2"/>
  <c r="T8" i="3"/>
  <c r="U8" i="3" s="1"/>
  <c r="F68" i="2"/>
  <c r="Y24" i="3"/>
  <c r="Y51" i="3"/>
  <c r="Y68" i="3"/>
  <c r="Y135" i="3"/>
  <c r="V143" i="3"/>
  <c r="Y250" i="3"/>
  <c r="Y40" i="3"/>
  <c r="Y71" i="3"/>
  <c r="I147" i="3"/>
  <c r="R147" i="3" s="1"/>
  <c r="S147" i="3" s="1"/>
  <c r="T265" i="3"/>
  <c r="U265" i="3" s="1"/>
  <c r="Y49" i="3"/>
  <c r="Y89" i="3"/>
  <c r="Y120" i="3"/>
  <c r="R150" i="3"/>
  <c r="S150" i="3" s="1"/>
  <c r="Y150" i="3" s="1"/>
  <c r="V153" i="3"/>
  <c r="Y257" i="3"/>
  <c r="T281" i="3"/>
  <c r="U281" i="3" s="1"/>
  <c r="I157" i="3"/>
  <c r="Y239" i="3"/>
  <c r="Y260" i="3"/>
  <c r="Y107" i="3"/>
  <c r="T268" i="3"/>
  <c r="U268" i="3" s="1"/>
  <c r="Y268" i="3"/>
  <c r="Y270" i="3"/>
  <c r="Y266" i="3"/>
  <c r="Y217" i="3"/>
  <c r="T217" i="3"/>
  <c r="U217" i="3" s="1"/>
  <c r="T13" i="3"/>
  <c r="U13" i="3" s="1"/>
  <c r="Y17" i="3"/>
  <c r="Y48" i="3"/>
  <c r="T48" i="3"/>
  <c r="U48" i="3" s="1"/>
  <c r="T47" i="3"/>
  <c r="U47" i="3" s="1"/>
  <c r="Y82" i="3"/>
  <c r="T122" i="3"/>
  <c r="U122" i="3" s="1"/>
  <c r="Y122" i="3"/>
  <c r="T130" i="3"/>
  <c r="U130" i="3" s="1"/>
  <c r="T165" i="3"/>
  <c r="U165" i="3" s="1"/>
  <c r="Y165" i="3"/>
  <c r="F82" i="2"/>
  <c r="Y164" i="3"/>
  <c r="Y197" i="3"/>
  <c r="T197" i="3"/>
  <c r="U197" i="3" s="1"/>
  <c r="T206" i="3"/>
  <c r="U206" i="3" s="1"/>
  <c r="Y206" i="3"/>
  <c r="Y199" i="3"/>
  <c r="T199" i="3"/>
  <c r="U199" i="3" s="1"/>
  <c r="Y210" i="3"/>
  <c r="T210" i="3"/>
  <c r="U210" i="3" s="1"/>
  <c r="Y202" i="3"/>
  <c r="T202" i="3"/>
  <c r="U202" i="3" s="1"/>
  <c r="T194" i="3"/>
  <c r="U194" i="3" s="1"/>
  <c r="T196" i="3"/>
  <c r="U196" i="3" s="1"/>
  <c r="T203" i="3"/>
  <c r="U203" i="3" s="1"/>
  <c r="Y255" i="3"/>
  <c r="T255" i="3"/>
  <c r="U255" i="3" s="1"/>
  <c r="T252" i="3"/>
  <c r="U252" i="3" s="1"/>
  <c r="B91" i="2" s="1"/>
  <c r="Y252" i="3"/>
  <c r="F91" i="2"/>
  <c r="Y253" i="3"/>
  <c r="Y94" i="3"/>
  <c r="T94" i="3"/>
  <c r="U94" i="3" s="1"/>
  <c r="T151" i="3"/>
  <c r="U151" i="3" s="1"/>
  <c r="Y151" i="3"/>
  <c r="Y60" i="3"/>
  <c r="T60" i="3"/>
  <c r="U60" i="3" s="1"/>
  <c r="T15" i="3"/>
  <c r="U15" i="3" s="1"/>
  <c r="Y15" i="3"/>
  <c r="Y63" i="3"/>
  <c r="T63" i="3"/>
  <c r="U63" i="3" s="1"/>
  <c r="Y173" i="3"/>
  <c r="T173" i="3"/>
  <c r="U173" i="3" s="1"/>
  <c r="T34" i="3"/>
  <c r="U34" i="3" s="1"/>
  <c r="Y34" i="3"/>
  <c r="T127" i="3"/>
  <c r="U127" i="3" s="1"/>
  <c r="Y127" i="3"/>
  <c r="Y140" i="3"/>
  <c r="T140" i="3"/>
  <c r="U140" i="3" s="1"/>
  <c r="T220" i="3"/>
  <c r="U220" i="3" s="1"/>
  <c r="Y220" i="3"/>
  <c r="Y232" i="3"/>
  <c r="T232" i="3"/>
  <c r="U232" i="3" s="1"/>
  <c r="T96" i="3"/>
  <c r="U96" i="3" s="1"/>
  <c r="Y96" i="3"/>
  <c r="T175" i="3"/>
  <c r="U175" i="3" s="1"/>
  <c r="Y175" i="3"/>
  <c r="Y229" i="3"/>
  <c r="T229" i="3"/>
  <c r="U229" i="3" s="1"/>
  <c r="Y22" i="3"/>
  <c r="T22" i="3"/>
  <c r="U22" i="3" s="1"/>
  <c r="Y126" i="3"/>
  <c r="T126" i="3"/>
  <c r="U126" i="3" s="1"/>
  <c r="Y162" i="3"/>
  <c r="T162" i="3"/>
  <c r="U162" i="3" s="1"/>
  <c r="Y81" i="3"/>
  <c r="T110" i="3"/>
  <c r="U110" i="3" s="1"/>
  <c r="F73" i="2"/>
  <c r="R149" i="3"/>
  <c r="S149" i="3" s="1"/>
  <c r="Y167" i="3"/>
  <c r="T167" i="3"/>
  <c r="U167" i="3" s="1"/>
  <c r="T183" i="3"/>
  <c r="U183" i="3" s="1"/>
  <c r="Y183" i="3"/>
  <c r="Y25" i="3"/>
  <c r="T25" i="3"/>
  <c r="U25" i="3" s="1"/>
  <c r="Y37" i="3"/>
  <c r="T37" i="3"/>
  <c r="U37" i="3" s="1"/>
  <c r="F70" i="2"/>
  <c r="T58" i="3"/>
  <c r="U58" i="3" s="1"/>
  <c r="Y95" i="3"/>
  <c r="T95" i="3"/>
  <c r="U95" i="3" s="1"/>
  <c r="T152" i="3"/>
  <c r="U152" i="3" s="1"/>
  <c r="Y152" i="3"/>
  <c r="J160" i="3"/>
  <c r="I160" i="3"/>
  <c r="M160" i="3"/>
  <c r="Y163" i="3"/>
  <c r="T163" i="3"/>
  <c r="U163" i="3" s="1"/>
  <c r="Y212" i="3"/>
  <c r="T212" i="3"/>
  <c r="U212" i="3" s="1"/>
  <c r="Y219" i="3"/>
  <c r="T225" i="3"/>
  <c r="U225" i="3" s="1"/>
  <c r="Y225" i="3"/>
  <c r="Y249" i="3"/>
  <c r="T249" i="3"/>
  <c r="U249" i="3" s="1"/>
  <c r="Y91" i="3"/>
  <c r="T91" i="3"/>
  <c r="U91" i="3" s="1"/>
  <c r="V151" i="3"/>
  <c r="X151" i="3"/>
  <c r="T166" i="3"/>
  <c r="U166" i="3" s="1"/>
  <c r="Y14" i="3"/>
  <c r="T14" i="3"/>
  <c r="T221" i="3"/>
  <c r="U221" i="3" s="1"/>
  <c r="Y221" i="3"/>
  <c r="T258" i="3"/>
  <c r="U258" i="3" s="1"/>
  <c r="Y133" i="3"/>
  <c r="T280" i="3"/>
  <c r="U280" i="3" s="1"/>
  <c r="F58" i="2"/>
  <c r="T18" i="3"/>
  <c r="U18" i="3" s="1"/>
  <c r="Y18" i="3"/>
  <c r="T278" i="3"/>
  <c r="U278" i="3" s="1"/>
  <c r="Y278" i="3"/>
  <c r="F59" i="2"/>
  <c r="T23" i="3"/>
  <c r="U23" i="3" s="1"/>
  <c r="Y23" i="3"/>
  <c r="T30" i="3"/>
  <c r="U30" i="3" s="1"/>
  <c r="Y55" i="3"/>
  <c r="T74" i="3"/>
  <c r="U74" i="3" s="1"/>
  <c r="Y116" i="3"/>
  <c r="T116" i="3"/>
  <c r="U116" i="3" s="1"/>
  <c r="Y172" i="3"/>
  <c r="T117" i="3"/>
  <c r="U117" i="3" s="1"/>
  <c r="Y117" i="3"/>
  <c r="Y39" i="3"/>
  <c r="T39" i="3"/>
  <c r="U39" i="3" s="1"/>
  <c r="T182" i="3"/>
  <c r="U182" i="3" s="1"/>
  <c r="Y182" i="3"/>
  <c r="Y200" i="3"/>
  <c r="F74" i="2"/>
  <c r="Y123" i="3"/>
  <c r="T123" i="3"/>
  <c r="U123" i="3" s="1"/>
  <c r="Y228" i="3"/>
  <c r="T228" i="3"/>
  <c r="U228" i="3" s="1"/>
  <c r="F77" i="2"/>
  <c r="Y171" i="3"/>
  <c r="T171" i="3"/>
  <c r="U171" i="3" s="1"/>
  <c r="T211" i="3"/>
  <c r="U211" i="3" s="1"/>
  <c r="Y263" i="3"/>
  <c r="T263" i="3"/>
  <c r="U263" i="3" s="1"/>
  <c r="T131" i="3"/>
  <c r="U131" i="3" s="1"/>
  <c r="T204" i="3"/>
  <c r="U204" i="3" s="1"/>
  <c r="T70" i="3"/>
  <c r="U70" i="3" s="1"/>
  <c r="Y70" i="3"/>
  <c r="Y115" i="3"/>
  <c r="T115" i="3"/>
  <c r="U115" i="3" s="1"/>
  <c r="T177" i="3"/>
  <c r="U177" i="3" s="1"/>
  <c r="Y177" i="3"/>
  <c r="Y209" i="3"/>
  <c r="T32" i="3"/>
  <c r="U32" i="3" s="1"/>
  <c r="T198" i="3"/>
  <c r="U198" i="3" s="1"/>
  <c r="Y276" i="3"/>
  <c r="T276" i="3"/>
  <c r="U276" i="3" s="1"/>
  <c r="Y93" i="3"/>
  <c r="T93" i="3"/>
  <c r="U93" i="3" s="1"/>
  <c r="T121" i="3"/>
  <c r="U121" i="3" s="1"/>
  <c r="Y170" i="3"/>
  <c r="T170" i="3"/>
  <c r="U170" i="3" s="1"/>
  <c r="F85" i="2"/>
  <c r="T231" i="3"/>
  <c r="U231" i="3" s="1"/>
  <c r="Y231" i="3"/>
  <c r="Y44" i="3"/>
  <c r="T44" i="3"/>
  <c r="U44" i="3" s="1"/>
  <c r="Y97" i="3"/>
  <c r="T97" i="3"/>
  <c r="U97" i="3" s="1"/>
  <c r="T136" i="3"/>
  <c r="U136" i="3" s="1"/>
  <c r="Y187" i="3"/>
  <c r="T187" i="3"/>
  <c r="U187" i="3" s="1"/>
  <c r="F86" i="2"/>
  <c r="Y207" i="3"/>
  <c r="T207" i="3"/>
  <c r="U207" i="3" s="1"/>
  <c r="T227" i="3"/>
  <c r="U227" i="3" s="1"/>
  <c r="Y275" i="3"/>
  <c r="T275" i="3"/>
  <c r="U275" i="3" s="1"/>
  <c r="T108" i="3"/>
  <c r="U108" i="3" s="1"/>
  <c r="T154" i="3"/>
  <c r="U154" i="3" s="1"/>
  <c r="Y154" i="3"/>
  <c r="T222" i="3"/>
  <c r="U222" i="3" s="1"/>
  <c r="Y222" i="3"/>
  <c r="Y56" i="3"/>
  <c r="T56" i="3"/>
  <c r="U56" i="3" s="1"/>
  <c r="F53" i="2"/>
  <c r="F52" i="2"/>
  <c r="F61" i="2"/>
  <c r="F49" i="2"/>
  <c r="F56" i="2"/>
  <c r="F51" i="2"/>
  <c r="F60" i="2"/>
  <c r="F55" i="2"/>
  <c r="T46" i="3"/>
  <c r="U46" i="3" s="1"/>
  <c r="Y46" i="3"/>
  <c r="Y53" i="3"/>
  <c r="Y64" i="3"/>
  <c r="T64" i="3"/>
  <c r="U64" i="3" s="1"/>
  <c r="T99" i="3"/>
  <c r="U99" i="3" s="1"/>
  <c r="T128" i="3"/>
  <c r="U128" i="3" s="1"/>
  <c r="Y128" i="3"/>
  <c r="T168" i="3"/>
  <c r="U168" i="3" s="1"/>
  <c r="Y168" i="3"/>
  <c r="Y186" i="3"/>
  <c r="T186" i="3"/>
  <c r="U186" i="3" s="1"/>
  <c r="Y226" i="3"/>
  <c r="T226" i="3"/>
  <c r="U226" i="3" s="1"/>
  <c r="T243" i="3"/>
  <c r="U243" i="3" s="1"/>
  <c r="Y243" i="3"/>
  <c r="T213" i="3"/>
  <c r="U213" i="3" s="1"/>
  <c r="T62" i="3"/>
  <c r="U62" i="3" s="1"/>
  <c r="Y62" i="3"/>
  <c r="T67" i="3"/>
  <c r="U67" i="3" s="1"/>
  <c r="Y86" i="3"/>
  <c r="T86" i="3"/>
  <c r="U86" i="3" s="1"/>
  <c r="F89" i="2"/>
  <c r="T251" i="3"/>
  <c r="U251" i="3" s="1"/>
  <c r="Y251" i="3"/>
  <c r="F50" i="2"/>
  <c r="Y42" i="3"/>
  <c r="T42" i="3"/>
  <c r="U42" i="3" s="1"/>
  <c r="T79" i="3"/>
  <c r="U79" i="3" s="1"/>
  <c r="T92" i="3"/>
  <c r="U92" i="3" s="1"/>
  <c r="V147" i="3"/>
  <c r="Y66" i="3"/>
  <c r="T66" i="3"/>
  <c r="U66" i="3" s="1"/>
  <c r="T90" i="3"/>
  <c r="U90" i="3" s="1"/>
  <c r="Y90" i="3"/>
  <c r="Y191" i="3"/>
  <c r="T191" i="3"/>
  <c r="U191" i="3" s="1"/>
  <c r="Y208" i="3"/>
  <c r="T208" i="3"/>
  <c r="U208" i="3" s="1"/>
  <c r="F62" i="2"/>
  <c r="T6" i="3"/>
  <c r="U6" i="3" s="1"/>
  <c r="T26" i="3"/>
  <c r="U26" i="3" s="1"/>
  <c r="Y26" i="3"/>
  <c r="T69" i="3"/>
  <c r="U69" i="3" s="1"/>
  <c r="Y69" i="3"/>
  <c r="Y75" i="3"/>
  <c r="T75" i="3"/>
  <c r="U75" i="3" s="1"/>
  <c r="Y88" i="3"/>
  <c r="T88" i="3"/>
  <c r="U88" i="3" s="1"/>
  <c r="Y109" i="3"/>
  <c r="T109" i="3"/>
  <c r="U109" i="3" s="1"/>
  <c r="T153" i="3"/>
  <c r="U153" i="3" s="1"/>
  <c r="T145" i="3"/>
  <c r="U145" i="3" s="1"/>
  <c r="Y145" i="3"/>
  <c r="T205" i="3"/>
  <c r="U205" i="3" s="1"/>
  <c r="Y205" i="3"/>
  <c r="Y256" i="3"/>
  <c r="T256" i="3"/>
  <c r="U256" i="3" s="1"/>
  <c r="T4" i="3"/>
  <c r="U4" i="3" s="1"/>
  <c r="Y9" i="3"/>
  <c r="T9" i="3"/>
  <c r="F67" i="2"/>
  <c r="T72" i="3"/>
  <c r="U72" i="3" s="1"/>
  <c r="T77" i="3"/>
  <c r="F75" i="2"/>
  <c r="T104" i="3"/>
  <c r="U104" i="3" s="1"/>
  <c r="Y113" i="3"/>
  <c r="T113" i="3"/>
  <c r="U113" i="3" s="1"/>
  <c r="R158" i="3"/>
  <c r="S158" i="3" s="1"/>
  <c r="T178" i="3"/>
  <c r="U178" i="3" s="1"/>
  <c r="T180" i="3"/>
  <c r="U180" i="3" s="1"/>
  <c r="T218" i="3"/>
  <c r="U218" i="3" s="1"/>
  <c r="T247" i="3"/>
  <c r="U247" i="3" s="1"/>
  <c r="Y247" i="3"/>
  <c r="T223" i="3"/>
  <c r="Y223" i="3"/>
  <c r="Y230" i="3"/>
  <c r="T230" i="3"/>
  <c r="U230" i="3" s="1"/>
  <c r="Y7" i="3"/>
  <c r="T7" i="3"/>
  <c r="U7" i="3" s="1"/>
  <c r="T102" i="3"/>
  <c r="U102" i="3" s="1"/>
  <c r="B53" i="2" s="1"/>
  <c r="V158" i="3"/>
  <c r="Y176" i="3"/>
  <c r="T176" i="3"/>
  <c r="U176" i="3" s="1"/>
  <c r="Y192" i="3"/>
  <c r="T192" i="3"/>
  <c r="U192" i="3" s="1"/>
  <c r="T201" i="3"/>
  <c r="U201" i="3" s="1"/>
  <c r="Y201" i="3"/>
  <c r="T214" i="3"/>
  <c r="U214" i="3" s="1"/>
  <c r="Y214" i="3"/>
  <c r="T237" i="3"/>
  <c r="U237" i="3" s="1"/>
  <c r="F93" i="2"/>
  <c r="T35" i="3"/>
  <c r="U35" i="3" s="1"/>
  <c r="Y35" i="3"/>
  <c r="Y111" i="3"/>
  <c r="T111" i="3"/>
  <c r="U111" i="3" s="1"/>
  <c r="Y16" i="3"/>
  <c r="T16" i="3"/>
  <c r="T61" i="3"/>
  <c r="U61" i="3" s="1"/>
  <c r="T80" i="3"/>
  <c r="U80" i="3" s="1"/>
  <c r="Y84" i="3"/>
  <c r="V148" i="3"/>
  <c r="R148" i="3"/>
  <c r="S148" i="3" s="1"/>
  <c r="M156" i="3"/>
  <c r="I156" i="3"/>
  <c r="Y274" i="3"/>
  <c r="Y5" i="3"/>
  <c r="T5" i="3"/>
  <c r="U5" i="3" s="1"/>
  <c r="Y54" i="3"/>
  <c r="I146" i="3"/>
  <c r="M146" i="3"/>
  <c r="X152" i="3"/>
  <c r="F87" i="2"/>
  <c r="Y254" i="3"/>
  <c r="Y2" i="3"/>
  <c r="T2" i="3"/>
  <c r="U2" i="3" s="1"/>
  <c r="T27" i="3"/>
  <c r="U27" i="3" s="1"/>
  <c r="Y27" i="3"/>
  <c r="Y29" i="3"/>
  <c r="T29" i="3"/>
  <c r="U29" i="3" s="1"/>
  <c r="T98" i="3"/>
  <c r="U98" i="3" s="1"/>
  <c r="Y118" i="3"/>
  <c r="Y124" i="3"/>
  <c r="R142" i="3"/>
  <c r="S142" i="3" s="1"/>
  <c r="X154" i="3"/>
  <c r="X159" i="3"/>
  <c r="R159" i="3"/>
  <c r="S159" i="3" s="1"/>
  <c r="T174" i="3"/>
  <c r="U174" i="3" s="1"/>
  <c r="Y174" i="3"/>
  <c r="F84" i="2"/>
  <c r="T279" i="3"/>
  <c r="U279" i="3" s="1"/>
  <c r="Y279" i="3"/>
  <c r="T12" i="3"/>
  <c r="Y12" i="3"/>
  <c r="F83" i="2"/>
  <c r="Y193" i="3"/>
  <c r="T193" i="3"/>
  <c r="U193" i="3" s="1"/>
  <c r="T215" i="3"/>
  <c r="U215" i="3" s="1"/>
  <c r="Y215" i="3"/>
  <c r="Y233" i="3"/>
  <c r="Y264" i="3"/>
  <c r="E92" i="2" s="1"/>
  <c r="T10" i="3"/>
  <c r="U10" i="3" s="1"/>
  <c r="T36" i="3"/>
  <c r="U36" i="3" s="1"/>
  <c r="Y36" i="3"/>
  <c r="Y52" i="3"/>
  <c r="T76" i="3"/>
  <c r="U76" i="3" s="1"/>
  <c r="Y137" i="3"/>
  <c r="T248" i="3"/>
  <c r="U248" i="3" s="1"/>
  <c r="Y248" i="3"/>
  <c r="J144" i="3"/>
  <c r="T139" i="3"/>
  <c r="U139" i="3" s="1"/>
  <c r="C79" i="2" s="1"/>
  <c r="M158" i="3"/>
  <c r="T45" i="3"/>
  <c r="U45" i="3" s="1"/>
  <c r="T262" i="3"/>
  <c r="U262" i="3" s="1"/>
  <c r="C86" i="2" l="1"/>
  <c r="D62" i="2"/>
  <c r="F44" i="2"/>
  <c r="E59" i="2"/>
  <c r="B58" i="2"/>
  <c r="R155" i="3"/>
  <c r="S155" i="3" s="1"/>
  <c r="C59" i="2"/>
  <c r="T143" i="3"/>
  <c r="U143" i="3" s="1"/>
  <c r="D100" i="2"/>
  <c r="E76" i="2"/>
  <c r="D73" i="2"/>
  <c r="X157" i="3"/>
  <c r="V157" i="3"/>
  <c r="R157" i="3"/>
  <c r="S157" i="3" s="1"/>
  <c r="C93" i="2"/>
  <c r="E86" i="2"/>
  <c r="B86" i="2"/>
  <c r="D53" i="2"/>
  <c r="E56" i="2"/>
  <c r="E53" i="2"/>
  <c r="T150" i="3"/>
  <c r="U150" i="3" s="1"/>
  <c r="D50" i="2"/>
  <c r="D76" i="2"/>
  <c r="E90" i="2"/>
  <c r="D93" i="2"/>
  <c r="C51" i="2"/>
  <c r="C74" i="2"/>
  <c r="B93" i="2"/>
  <c r="C89" i="2"/>
  <c r="C54" i="2"/>
  <c r="C53" i="2"/>
  <c r="T161" i="3"/>
  <c r="U161" i="3" s="1"/>
  <c r="D92" i="2"/>
  <c r="V155" i="3"/>
  <c r="B78" i="2"/>
  <c r="E79" i="2"/>
  <c r="B55" i="2"/>
  <c r="E52" i="2"/>
  <c r="D69" i="2"/>
  <c r="C91" i="2"/>
  <c r="D91" i="2"/>
  <c r="B49" i="2"/>
  <c r="B74" i="2"/>
  <c r="E74" i="2"/>
  <c r="D75" i="2"/>
  <c r="C50" i="2"/>
  <c r="E78" i="2"/>
  <c r="E51" i="2"/>
  <c r="D51" i="2"/>
  <c r="B60" i="2"/>
  <c r="D60" i="2"/>
  <c r="D55" i="2"/>
  <c r="E71" i="2"/>
  <c r="D71" i="2"/>
  <c r="E49" i="2"/>
  <c r="U14" i="3"/>
  <c r="C68" i="2"/>
  <c r="B68" i="2"/>
  <c r="E60" i="2"/>
  <c r="C60" i="2"/>
  <c r="E50" i="2"/>
  <c r="D59" i="2"/>
  <c r="F45" i="2"/>
  <c r="Y159" i="3"/>
  <c r="T159" i="3"/>
  <c r="U159" i="3" s="1"/>
  <c r="B59" i="2"/>
  <c r="E93" i="2"/>
  <c r="E84" i="2"/>
  <c r="D84" i="2"/>
  <c r="E77" i="2"/>
  <c r="E91" i="2"/>
  <c r="V146" i="3"/>
  <c r="R146" i="3"/>
  <c r="S146" i="3" s="1"/>
  <c r="D77" i="2"/>
  <c r="C62" i="2"/>
  <c r="D90" i="2"/>
  <c r="C84" i="2"/>
  <c r="B84" i="2"/>
  <c r="C58" i="2"/>
  <c r="E75" i="2"/>
  <c r="V160" i="3"/>
  <c r="X160" i="3"/>
  <c r="R160" i="3"/>
  <c r="S160" i="3" s="1"/>
  <c r="C78" i="2"/>
  <c r="D49" i="2"/>
  <c r="E73" i="2"/>
  <c r="B62" i="2"/>
  <c r="E62" i="2"/>
  <c r="B54" i="2"/>
  <c r="C82" i="2"/>
  <c r="B82" i="2"/>
  <c r="C92" i="2"/>
  <c r="B92" i="2"/>
  <c r="B85" i="2"/>
  <c r="C85" i="2"/>
  <c r="D85" i="2"/>
  <c r="E85" i="2"/>
  <c r="C76" i="2"/>
  <c r="B76" i="2"/>
  <c r="E54" i="2"/>
  <c r="D70" i="2"/>
  <c r="E70" i="2"/>
  <c r="D61" i="2"/>
  <c r="D86" i="2"/>
  <c r="E61" i="2"/>
  <c r="B87" i="2"/>
  <c r="C87" i="2"/>
  <c r="E67" i="2"/>
  <c r="D67" i="2"/>
  <c r="C55" i="2"/>
  <c r="E87" i="2"/>
  <c r="D87" i="2"/>
  <c r="D68" i="2"/>
  <c r="E68" i="2"/>
  <c r="D54" i="2"/>
  <c r="D66" i="2"/>
  <c r="D41" i="2"/>
  <c r="E66" i="2"/>
  <c r="Y147" i="3"/>
  <c r="T147" i="3"/>
  <c r="U147" i="3" s="1"/>
  <c r="C75" i="2"/>
  <c r="B75" i="2"/>
  <c r="C90" i="2"/>
  <c r="B90" i="2"/>
  <c r="E88" i="2"/>
  <c r="D88" i="2"/>
  <c r="C49" i="2"/>
  <c r="R144" i="3"/>
  <c r="S144" i="3" s="1"/>
  <c r="V144" i="3"/>
  <c r="Y142" i="3"/>
  <c r="T142" i="3"/>
  <c r="U142" i="3" s="1"/>
  <c r="B77" i="2"/>
  <c r="C77" i="2"/>
  <c r="D82" i="2"/>
  <c r="E82" i="2"/>
  <c r="D78" i="2"/>
  <c r="U12" i="3"/>
  <c r="V156" i="3"/>
  <c r="X156" i="3"/>
  <c r="R156" i="3"/>
  <c r="S156" i="3" s="1"/>
  <c r="D102" i="2"/>
  <c r="U223" i="3"/>
  <c r="E58" i="2"/>
  <c r="E83" i="2"/>
  <c r="D83" i="2"/>
  <c r="E69" i="2"/>
  <c r="B79" i="2"/>
  <c r="E55" i="2"/>
  <c r="Y148" i="3"/>
  <c r="T148" i="3"/>
  <c r="U148" i="3" s="1"/>
  <c r="C72" i="2"/>
  <c r="B72" i="2"/>
  <c r="D56" i="2"/>
  <c r="Y155" i="3"/>
  <c r="T155" i="3"/>
  <c r="U155" i="3" s="1"/>
  <c r="U16" i="3"/>
  <c r="T149" i="3"/>
  <c r="U149" i="3" s="1"/>
  <c r="Y149" i="3"/>
  <c r="T158" i="3"/>
  <c r="U158" i="3" s="1"/>
  <c r="Y158" i="3"/>
  <c r="D79" i="2"/>
  <c r="D58" i="2"/>
  <c r="B69" i="2"/>
  <c r="C69" i="2"/>
  <c r="B50" i="2"/>
  <c r="D74" i="2"/>
  <c r="U77" i="3"/>
  <c r="B52" i="2" s="1"/>
  <c r="D101" i="2"/>
  <c r="D52" i="2"/>
  <c r="U9" i="3"/>
  <c r="D99" i="2"/>
  <c r="D72" i="2"/>
  <c r="E72" i="2"/>
  <c r="C52" i="2"/>
  <c r="B51" i="2"/>
  <c r="D89" i="2"/>
  <c r="E89" i="2"/>
  <c r="F43" i="2" l="1"/>
  <c r="D44" i="2"/>
  <c r="F37" i="2"/>
  <c r="F81" i="2"/>
  <c r="Y157" i="3"/>
  <c r="D37" i="2" s="1"/>
  <c r="T157" i="3"/>
  <c r="U157" i="3" s="1"/>
  <c r="B31" i="2"/>
  <c r="G41" i="2"/>
  <c r="G44" i="2"/>
  <c r="B30" i="2"/>
  <c r="T160" i="3"/>
  <c r="Y160" i="3"/>
  <c r="E44" i="2"/>
  <c r="B56" i="2"/>
  <c r="C56" i="2"/>
  <c r="C66" i="2"/>
  <c r="C44" i="2"/>
  <c r="B44" i="2"/>
  <c r="B66" i="2"/>
  <c r="B37" i="2"/>
  <c r="C37" i="2"/>
  <c r="C88" i="2"/>
  <c r="B88" i="2"/>
  <c r="F36" i="2"/>
  <c r="B29" i="2"/>
  <c r="F57" i="2"/>
  <c r="F80" i="2"/>
  <c r="F42" i="2"/>
  <c r="E41" i="2"/>
  <c r="B32" i="2"/>
  <c r="T144" i="3"/>
  <c r="Y144" i="3"/>
  <c r="B8" i="2"/>
  <c r="T156" i="3"/>
  <c r="U156" i="3" s="1"/>
  <c r="Y156" i="3"/>
  <c r="Y146" i="3"/>
  <c r="T146" i="3"/>
  <c r="B73" i="2"/>
  <c r="C73" i="2"/>
  <c r="C67" i="2"/>
  <c r="B67" i="2"/>
  <c r="C41" i="2"/>
  <c r="B41" i="2"/>
  <c r="C61" i="2"/>
  <c r="B61" i="2"/>
  <c r="E37" i="2" l="1"/>
  <c r="B27" i="2"/>
  <c r="D57" i="2"/>
  <c r="E57" i="2"/>
  <c r="D80" i="2"/>
  <c r="E81" i="2"/>
  <c r="U144" i="3"/>
  <c r="G42" i="2"/>
  <c r="B24" i="2"/>
  <c r="U160" i="3"/>
  <c r="C81" i="2" s="1"/>
  <c r="G45" i="2"/>
  <c r="U146" i="3"/>
  <c r="G43" i="2"/>
  <c r="D43" i="2"/>
  <c r="E43" i="2"/>
  <c r="B26" i="2"/>
  <c r="E80" i="2"/>
  <c r="D45" i="2"/>
  <c r="E45" i="2"/>
  <c r="D81" i="2"/>
  <c r="E42" i="2"/>
  <c r="D42" i="2"/>
  <c r="D36" i="2"/>
  <c r="E36" i="2"/>
  <c r="B81" i="2" l="1"/>
  <c r="B45" i="2"/>
  <c r="C45" i="2"/>
  <c r="C43" i="2"/>
  <c r="B43" i="2"/>
  <c r="C36" i="2"/>
  <c r="C57" i="2"/>
  <c r="C42" i="2"/>
  <c r="B22" i="2"/>
  <c r="B107" i="2"/>
  <c r="B42" i="2"/>
  <c r="B23" i="2"/>
  <c r="B80" i="2"/>
  <c r="B36" i="2"/>
  <c r="C80" i="2"/>
  <c r="B57" i="2"/>
</calcChain>
</file>

<file path=xl/sharedStrings.xml><?xml version="1.0" encoding="utf-8"?>
<sst xmlns="http://schemas.openxmlformats.org/spreadsheetml/2006/main" count="2574" uniqueCount="587">
  <si>
    <t>Firma_ID</t>
  </si>
  <si>
    <t>Unternehmen</t>
  </si>
  <si>
    <t>Finanzwert (0/1)</t>
  </si>
  <si>
    <t>Branche (vorlaeufig)</t>
  </si>
  <si>
    <t>KPI1_Definition (Umsatzgroesse)</t>
  </si>
  <si>
    <t>KPI2_Definition (op. Ergebnisgroesse)</t>
  </si>
  <si>
    <t>Anmerkung</t>
  </si>
  <si>
    <t>ADS</t>
  </si>
  <si>
    <t>adidas AG</t>
  </si>
  <si>
    <t>Konsumgueter</t>
  </si>
  <si>
    <t>Umsatzwachstum</t>
  </si>
  <si>
    <t>Operative Marge / Betriebsergebnis</t>
  </si>
  <si>
    <t>ALV</t>
  </si>
  <si>
    <t>Allianz SE</t>
  </si>
  <si>
    <t>Versicherungen</t>
  </si>
  <si>
    <t>Umsatz</t>
  </si>
  <si>
    <t>Operatives Ergebnis</t>
  </si>
  <si>
    <t>Konzernumsatz-Prognose nur qualitativ -&gt; KPI1 fehlend</t>
  </si>
  <si>
    <t>BAS</t>
  </si>
  <si>
    <t>BASF SE</t>
  </si>
  <si>
    <t>Chemie</t>
  </si>
  <si>
    <t>EBIT/EBITDA*</t>
  </si>
  <si>
    <t>BAYN</t>
  </si>
  <si>
    <t>Bayer AG</t>
  </si>
  <si>
    <t>Pharma &amp; Healthcare</t>
  </si>
  <si>
    <t>Umsatzerlöse</t>
  </si>
  <si>
    <t>EBITDA</t>
  </si>
  <si>
    <t>BEI</t>
  </si>
  <si>
    <t>Beiersdorf AG</t>
  </si>
  <si>
    <t>Umsatzentwicklung</t>
  </si>
  <si>
    <t>EBIT-Umsatzrendite</t>
  </si>
  <si>
    <t>Alle Geschäftsberichte zum Download unter https://www.beiersdorf.de/investor-relations/finanzberichte/finanzberichte-und-praesentationen</t>
  </si>
  <si>
    <t>BMW</t>
  </si>
  <si>
    <t>BMW AG</t>
  </si>
  <si>
    <t>Automobile</t>
  </si>
  <si>
    <t>nicht prognostiziert</t>
  </si>
  <si>
    <t>EBIT-Marge</t>
  </si>
  <si>
    <t>Nur Segment Automobile betrachtet, Segment Motorräder außen vor gelassen (im vergleich ist das Segment winzig).
Umsatzprognose wird nicht durchgeführt, da BMW intern nicht über Umsatz steuert und DRS 20 verlangt Prognosen nur für die intern verwendeten bedeutsamsten Leistungsindikatoren.</t>
  </si>
  <si>
    <t>CON</t>
  </si>
  <si>
    <t>Continental AG</t>
  </si>
  <si>
    <t>1COV</t>
  </si>
  <si>
    <t>Covestro AG</t>
  </si>
  <si>
    <t>Umsatz als KPI fehlt</t>
  </si>
  <si>
    <t>DAI</t>
  </si>
  <si>
    <t>Daimler AG</t>
  </si>
  <si>
    <t>Bereinigte Umsatzrendite MB Cars &amp; Vans</t>
  </si>
  <si>
    <t>12/2021 Spin-off Daimler Truck; ab GB 2021 Mercedes-Benz-Group; ab 2022 ggf. Segment Cars separat.</t>
  </si>
  <si>
    <t>DBK</t>
  </si>
  <si>
    <t>Deutsche Bank AG</t>
  </si>
  <si>
    <t>Banken</t>
  </si>
  <si>
    <t>Erträge Konzern</t>
  </si>
  <si>
    <t>Eigenkapitalrendite nach Steuern</t>
  </si>
  <si>
    <t>KPI2: Jahresprognose nur im GB 2019 für 2020 und GB 2021 für 2022, übrige Jahre nur Mittelfristziele -&gt; fehlend</t>
  </si>
  <si>
    <t>DB1</t>
  </si>
  <si>
    <t>Deutsche Boerse AG</t>
  </si>
  <si>
    <t>Finanzdienstleister</t>
  </si>
  <si>
    <t>Nettoerlöse</t>
  </si>
  <si>
    <t>DPW</t>
  </si>
  <si>
    <t>Deutsche Post AG</t>
  </si>
  <si>
    <t>Transport &amp; Logistik</t>
  </si>
  <si>
    <t>Konzern-EBIT</t>
  </si>
  <si>
    <t>KPI1 nicht prognostiziert, alle Jahre fehlend</t>
  </si>
  <si>
    <t>DTE</t>
  </si>
  <si>
    <t>Deutsche Telekom AG</t>
  </si>
  <si>
    <t>Telekommunikation</t>
  </si>
  <si>
    <t>Bereinigte EBITDA AL</t>
  </si>
  <si>
    <t>EOAN</t>
  </si>
  <si>
    <t>E.ON SE</t>
  </si>
  <si>
    <t>Versorger</t>
  </si>
  <si>
    <t>EBIT/EBITDA</t>
  </si>
  <si>
    <t>KPI1 nicht prognostiziert, alle Jahre fehlend
KPI2: Für 2020 und 2021 EBIT; für 2022, 2023 und 2024 EBITDA</t>
  </si>
  <si>
    <t>FRE</t>
  </si>
  <si>
    <t>Fresenius SE &amp; Co. KGaA</t>
  </si>
  <si>
    <t>Konzernergebnis/EBIT</t>
  </si>
  <si>
    <t>KPI2: Konzernergebnis für 2020 bis 2022, ab 2023 EBIT</t>
  </si>
  <si>
    <t>FME</t>
  </si>
  <si>
    <t>Fresenius Medical Care AG &amp; Co. KGaA</t>
  </si>
  <si>
    <t>HEI</t>
  </si>
  <si>
    <t>HeidelbergCement AG</t>
  </si>
  <si>
    <t>Bau</t>
  </si>
  <si>
    <t>Ergebnis des laufenden Geschäftsbetriebs (RCO)</t>
  </si>
  <si>
    <t>HEN3</t>
  </si>
  <si>
    <t>Henkel AG &amp; Co. KGaA</t>
  </si>
  <si>
    <t>Organisches Umsatzwachstum</t>
  </si>
  <si>
    <t>EBIT-Marge (bereinigt)</t>
  </si>
  <si>
    <t>IFX</t>
  </si>
  <si>
    <t>Infineon Technologies AG</t>
  </si>
  <si>
    <t>Technologie</t>
  </si>
  <si>
    <t>Segmentergebnis-Marge</t>
  </si>
  <si>
    <t>Linde plc</t>
  </si>
  <si>
    <t>Ausgeschlossen, Begründung unter Kapitel 3.1</t>
  </si>
  <si>
    <t>LHA</t>
  </si>
  <si>
    <t>Deutsche Lufthansa AG</t>
  </si>
  <si>
    <t>Bereinigtes EBIT</t>
  </si>
  <si>
    <t>MRK</t>
  </si>
  <si>
    <t>Merck KGaA</t>
  </si>
  <si>
    <t>EBITDA pre</t>
  </si>
  <si>
    <t>MTX</t>
  </si>
  <si>
    <t>MTU Aero Engines AG</t>
  </si>
  <si>
    <t>Industrie</t>
  </si>
  <si>
    <t>Umsatz(/Bereinigter Umsatz)</t>
  </si>
  <si>
    <t>Bereinigtes EBIT/ EBIT-Marge</t>
  </si>
  <si>
    <t>MUV2</t>
  </si>
  <si>
    <t>Muenchener Rueck AG</t>
  </si>
  <si>
    <t>Konzernergebnis</t>
  </si>
  <si>
    <t>Umsatz -&gt; KPI1 fehlend</t>
  </si>
  <si>
    <t>RWE</t>
  </si>
  <si>
    <t>RWE AG</t>
  </si>
  <si>
    <t>Bereinigtes EBITDA</t>
  </si>
  <si>
    <t>SAP</t>
  </si>
  <si>
    <t>SAP SE</t>
  </si>
  <si>
    <t>Cloud- und Softwareerlöse</t>
  </si>
  <si>
    <t>Betriebsergebnis Non-IFRS (wb.)</t>
  </si>
  <si>
    <t>Prognose Non-IFRS + waehrungsbereinigt</t>
  </si>
  <si>
    <t>SIE</t>
  </si>
  <si>
    <t>Siemens AG</t>
  </si>
  <si>
    <t>EBITA-Marge / EPS pre PPA</t>
  </si>
  <si>
    <t>Geschaeftsjahr endet 30.09. 
KPI2: Ergebnismarge Industrial Business (2020-2021), ab GJ 2022 EPS pre PPA wegen geänderter Konzernsteuerung nach Siemens-Energy-Spin-off 09/2020</t>
  </si>
  <si>
    <t>VOW3</t>
  </si>
  <si>
    <t>Volkswagen AG</t>
  </si>
  <si>
    <t>Operative Umsatzrendite</t>
  </si>
  <si>
    <t>VNA</t>
  </si>
  <si>
    <t>Vonovia SE</t>
  </si>
  <si>
    <t>Immobilien</t>
  </si>
  <si>
    <t>Group FFO</t>
  </si>
  <si>
    <t>KPI1: Group Funds from Operations -&gt; wichtigste operative Kennzahl für Rentabilität und Cashflow in der Immobilienbranche.
KPI1 ab 2023 fehlend (Prognose für 2024 fehlt).</t>
  </si>
  <si>
    <t>Wirecard</t>
  </si>
  <si>
    <t>Stichprobe: DAX30 zum Stichtag 01.01.2020 (Stand nach Indexanpassung 09/2019). Ausgeschlossen: Wirecard AG (Insolvenz 2020, keine verlaesslichen Ist-Werte) und Linde plc (irische Gesellschaft, US-GAAP, keine DRS-20-Prognoseberichtspflicht) -&gt; 28 Unternehmen. Quelle: STOXX, Historical Index Compositions of the Equity- and Strategy Indices.</t>
  </si>
  <si>
    <t>1. Ueberblick Stichprobe</t>
  </si>
  <si>
    <t>Beobachtungen gesamt</t>
  </si>
  <si>
    <t>davon Umsatz</t>
  </si>
  <si>
    <t>davon operative Ergebnisgroesse</t>
  </si>
  <si>
    <t>quantitativ (mit Fehlerwert)</t>
  </si>
  <si>
    <t>qualitativ</t>
  </si>
  <si>
    <t>fehlend</t>
  </si>
  <si>
    <t>Anteil nicht quantifiziert</t>
  </si>
  <si>
    <t>2. Prognoseformen</t>
  </si>
  <si>
    <t>Bandbreite</t>
  </si>
  <si>
    <t>Punkt mit Korridor</t>
  </si>
  <si>
    <t>Punkt</t>
  </si>
  <si>
    <t>verbal-quantifiziert</t>
  </si>
  <si>
    <t>3. Genauigkeit gesamt</t>
  </si>
  <si>
    <t>MAPE (nur absolute KPIs, EUR)</t>
  </si>
  <si>
    <t>Anzahl Beobachtungen dafuer</t>
  </si>
  <si>
    <t>Bias relativ (Mittel rel. Fehler)</t>
  </si>
  <si>
    <t>MAE in Prozentpunkten (%-KPIs)</t>
  </si>
  <si>
    <t>Trefferquote Bandbreite</t>
  </si>
  <si>
    <t>davon innerhalb</t>
  </si>
  <si>
    <t>davon oberhalb (Unterschaetzung)</t>
  </si>
  <si>
    <t>davon unterhalb (Ueberschaetzung)</t>
  </si>
  <si>
    <t>4. Nach KPI</t>
  </si>
  <si>
    <t>MAPE (absolut)</t>
  </si>
  <si>
    <t>n</t>
  </si>
  <si>
    <t>MAE PP (%-KPI)</t>
  </si>
  <si>
    <t>Trefferquote</t>
  </si>
  <si>
    <t>Operative Ergebnisgroesse</t>
  </si>
  <si>
    <t>5. Nach Ist-Jahr</t>
  </si>
  <si>
    <t>Jahr</t>
  </si>
  <si>
    <t>Bias rel.</t>
  </si>
  <si>
    <t>6. Nach Branche</t>
  </si>
  <si>
    <t>Branche</t>
  </si>
  <si>
    <t>7. Nach Unternehmen</t>
  </si>
  <si>
    <t>Firma</t>
  </si>
  <si>
    <t>qualitativ+fehlend</t>
  </si>
  <si>
    <t>Hinweis: Alle Werte sind Formeln und aktualisieren sich automatisch, wenn im Blatt 'Daten' etwas geaendert wird.</t>
  </si>
  <si>
    <t>8. Ausreisser (|rel. Fehler| &gt; 50 %) - fuer Robustheitsrechnung pruefen</t>
  </si>
  <si>
    <t>Zeile</t>
  </si>
  <si>
    <t>rel. Fehler</t>
  </si>
  <si>
    <t>Hinweis</t>
  </si>
  <si>
    <t>Vorzeichenwechsel: Prognose Verlust, Ist Gewinn -&gt; Kennzahl nicht interpretierbar</t>
  </si>
  <si>
    <t>sehr niedrige Prognosebasis</t>
  </si>
  <si>
    <t>Ergebniseinbruch Energiekrise</t>
  </si>
  <si>
    <t>Corona-Schadenbelastung</t>
  </si>
  <si>
    <t>Wertminderung Siemens-Energy-Beteiligung (-3,37 EUR je Aktie)</t>
  </si>
  <si>
    <t>MAPE ohne ADS 2023</t>
  </si>
  <si>
    <t>Ist_Jahr</t>
  </si>
  <si>
    <t>KPI</t>
  </si>
  <si>
    <t>GB_Prognosequelle</t>
  </si>
  <si>
    <t>Seite_Prognose</t>
  </si>
  <si>
    <t>Prognoseform</t>
  </si>
  <si>
    <t>Angabetyp</t>
  </si>
  <si>
    <t>Einheit</t>
  </si>
  <si>
    <t>Prog_Untergrenze</t>
  </si>
  <si>
    <t>Prog_Obergrenze</t>
  </si>
  <si>
    <t>Basiswert_Vorjahr</t>
  </si>
  <si>
    <t>Ist_Wert</t>
  </si>
  <si>
    <t>Veränderung zum Vorjahr</t>
  </si>
  <si>
    <t>Rahmensprengung</t>
  </si>
  <si>
    <t>GB_Ist_Quelle</t>
  </si>
  <si>
    <t>Seite_Ist</t>
  </si>
  <si>
    <t>Prognose_final</t>
  </si>
  <si>
    <t>Fehler (Prog.-Ist)</t>
  </si>
  <si>
    <t>Rel_Fehler (nur absolut)</t>
  </si>
  <si>
    <t>APE (nur absolut)</t>
  </si>
  <si>
    <t>Treffer_Bandbreite (1/0)</t>
  </si>
  <si>
    <t>Prognose_Wortlaut</t>
  </si>
  <si>
    <t>Trefferkategorie</t>
  </si>
  <si>
    <t>Fehler_PP (nur %-KPI)</t>
  </si>
  <si>
    <t>2019: https://report.adidas-group.com/2019/de/serviceseiten/downloads/files/adidas_geschaeftsbericht_2019.pdf</t>
  </si>
  <si>
    <t>Wachstumsrate %</t>
  </si>
  <si>
    <t>% (wb. Wachstumsrate)</t>
  </si>
  <si>
    <t>-20 PP</t>
  </si>
  <si>
    <t>2020: https://report.adidas-group.com/2020/de/serviceseiten/downloads/files/annual-report-adidas-gb20.pdf</t>
  </si>
  <si>
    <t>Marge %</t>
  </si>
  <si>
    <t>% (op. Marge)</t>
  </si>
  <si>
    <t>-7,5 PP</t>
  </si>
  <si>
    <t>-0,20 PP</t>
  </si>
  <si>
    <t>30 PP</t>
  </si>
  <si>
    <t>im Rahmen</t>
  </si>
  <si>
    <t>2021: https://report.adidas-group.com/2021/de/serviceseiten/downloads/files/annual-report-adidas-gb21.pdf</t>
  </si>
  <si>
    <t>5,3 PP</t>
  </si>
  <si>
    <t>-15 PP</t>
  </si>
  <si>
    <t>-11 PP</t>
  </si>
  <si>
    <t>2022: https://report.adidas-group.com/2022/de/_assets/downloads/annual-report-adidas-gb22.pdf</t>
  </si>
  <si>
    <t>2021:https://report.adidas-group.com/2021/de/serviceseiten/downloads/files/annual-report-adidas-gb21.pdf</t>
  </si>
  <si>
    <t>-6,4 PP</t>
  </si>
  <si>
    <t>-16,9 PP</t>
  </si>
  <si>
    <t>-3 PP</t>
  </si>
  <si>
    <t>Positiv außerhalb Prognose (oberhalb)</t>
  </si>
  <si>
    <t>2023: https://report.adidas-group.com/2023/de/_assets/downloads/annual-report-adidas-gb23.pdf</t>
  </si>
  <si>
    <t>absolut</t>
  </si>
  <si>
    <t>Mio. EUR</t>
  </si>
  <si>
    <t>METHODIK: Prognose -700 Mio (Verlust) vs. Ist +268 Mio -&gt; Vorzeichenwechsel, relativer Fehler (-361 %) statistisch nicht sinnvoll interpretierbar; als Ausreisser behandeln oder in Robustheitsrechnung ausschliessen</t>
  </si>
  <si>
    <t>12 PP</t>
  </si>
  <si>
    <t>2024: https://report.adidas-group.com/2024/de/_assets/downloads/annual-report-adidas-gb24.pdf</t>
  </si>
  <si>
    <t>2019: https://www.allianz.com/content/dam/onemarketing/azcom/Allianz_com/investor-relations/en/results-reports/annual-report/ar-2019/de-GB-Gruppe-Geschaeftsbericht-Allianz-2019.pdf</t>
  </si>
  <si>
    <t>Mrd. EUR</t>
  </si>
  <si>
    <t>-750 Mio. EUR</t>
  </si>
  <si>
    <t>2020: https://www.allianz.com/content/dam/onemarketing/azcom/Allianz_com/investor-relations/en/results-reports/annual-report/ar-2020/de-Allianz-Gruppe-Geschaeftsbericht-2020.pdf</t>
  </si>
  <si>
    <t>Um 1.914 gesunken, obwohl es hätte steigen sollen</t>
  </si>
  <si>
    <t>Moderates Wachstum</t>
  </si>
  <si>
    <t>2021: https://www.allianz.com/content/dam/onemarketing/azcom/Allianz_com/investor-relations/en/results-reports/annual-report/ar-2021/de-Allianz-Gruppe-Geschaeftsbericht-2021.pdf</t>
  </si>
  <si>
    <t>2022: https://www.allianz.com/content/dam/onemarketing/azcom/Allianz_com/investor-relations/en/results-reports/annual-report/ar-2022/de-Allianz-Gruppe-Geschaeftsbericht-2022.pdf</t>
  </si>
  <si>
    <t>2023: https://www.allianz.com/content/dam/onemarketing/azcom/Allianz_com/investor-relations/en/results-reports/annual-report/ar-2023/de-Allianz-Gruppe-Geschaeftsbericht-2023.pdf</t>
  </si>
  <si>
    <t>+ 7%</t>
  </si>
  <si>
    <t>2024: https://www.allianz.com/content/dam/onemarketing/azcom/Allianz_com/investor-relations/en/results-reports/annual-report/ar-2024/de-allianz-gruppe-geschaeftsbericht-2024.pdf</t>
  </si>
  <si>
    <t>5,30 PP</t>
  </si>
  <si>
    <t>+ 3%</t>
  </si>
  <si>
    <t>2019: https://www.basf.com/dam/jcr:19509d83-1670-32bb-b58a-2ca8c594eb86/basf/www/global/documents/de/investor-relations/calendar-and-publications/reports/2020/BASF_Bericht_2019.pdf</t>
  </si>
  <si>
    <t>-0,85 Mrd. EUR</t>
  </si>
  <si>
    <t>2020: https://www.basf.com/dam/jcr:14cf35ed-802f-3b49-8bef-363aa9646373/basf/www/global/documents/de/investor-relations/calendar-and-publications/reports/2021/BASF_Bericht_2020.pdf</t>
  </si>
  <si>
    <t>-0,64 Mrd. EUR</t>
  </si>
  <si>
    <t>2021: https://www.basf.com/dam/jcr:e0618338-8da4-31ba-b2b3-165dd93a6fcf/basf/www/global/documents/de/investor-relations/calendar-and-publications/reports/2022/BASF_Bericht_2021.pdf</t>
  </si>
  <si>
    <t>2022: https://www.basf.com/dam/jcr:29580e49-03df-3dff-a5fe-e16171be6e3f/basf/www/global/documents/de/investor-relations/calendar-and-publications/reports/2023/BASF_Bericht_2022.pdf</t>
  </si>
  <si>
    <t>-15,10 Mrd. EUR</t>
  </si>
  <si>
    <t>2023: https://www.basf.com/dam/jcr:dad0be3d-5bac-3832-a127-7c8cefeb7f41/basf/www/global/documents/de/investor-relations/calendar-and-publications/reports/2024/BASF_Bericht_2023.pdf</t>
  </si>
  <si>
    <t>-0,99 Mrd. EUR</t>
  </si>
  <si>
    <t>Im Jahr 2024 fehl Umsatzprognose</t>
  </si>
  <si>
    <t>-0,14 Mrd. EUR</t>
  </si>
  <si>
    <t>2024: https://www.basf.com/dam/jcr:d3e39e4b-cfca-49fc-8df8-984053c2a322/basf/www/global/documents/de/investor-relations/calendar-and-publications/reports/2025/BASF_Bericht_2024.pdf?vid=lIIH3WpJGD7dq3XzAnQeXe.7T7O_Rv6h</t>
  </si>
  <si>
    <t>KPI2 bei BASF: EBIT vor Sondereinfluessen (Kennzeichnung '*' aus KPI-Spalte hierher verschoben)</t>
  </si>
  <si>
    <t>2019: https://www.bayer.com/sites/default/files/2020-11/geschaeftsbericht-2019-der-bayer-ag.pdf</t>
  </si>
  <si>
    <t>-2,60 Mrd. EUR</t>
  </si>
  <si>
    <t>2020: https://www.bayer.com/sites/default/files/2021-02/Bayer-Geschaeftsbericht-2020.pdf</t>
  </si>
  <si>
    <t>-0,84 Mrd. EUR</t>
  </si>
  <si>
    <t>2021: https://www.bayer.com/sites/default/files/2022-03/Bayer-Geschaeftsbericht-2021.pdf</t>
  </si>
  <si>
    <t>-2,30 PP</t>
  </si>
  <si>
    <t>-2,40 PP</t>
  </si>
  <si>
    <t>2022: https://www.bayer.com/sites/default/files/2023-02/Bayer-Geschaeftsbericht-2022.pdf</t>
  </si>
  <si>
    <t>1,20 PP</t>
  </si>
  <si>
    <t>-2,36 Mrd. EUR</t>
  </si>
  <si>
    <t>2023: https://www.bayer.com/sites/default/files/2024-03/bayer-geschaeftsbericht-2023.pdf</t>
  </si>
  <si>
    <t>-0,79 Mrd. EUR</t>
  </si>
  <si>
    <t>2024: https://www.bayer.com/sites/default/files/2025-03/bayer-geschaeftsbericht-2024.pdf</t>
  </si>
  <si>
    <t>-0,28 Mrd. EUR</t>
  </si>
  <si>
    <t>-9,80 PP</t>
  </si>
  <si>
    <t>-8,70 PP</t>
  </si>
  <si>
    <t>I</t>
  </si>
  <si>
    <t>-1,70 PP</t>
  </si>
  <si>
    <t>-2,20 PP</t>
  </si>
  <si>
    <t>15,40 PP</t>
  </si>
  <si>
    <t>Da durch die Pandemie die Prognosefähigkeit beeinträchtigt war, wurden keine konkrete Werte geschätzt.</t>
  </si>
  <si>
    <t>Von positivem Umsatzwachstum ausgegangen</t>
  </si>
  <si>
    <t>0,40 PP</t>
  </si>
  <si>
    <t>Wird unter Vorjahresniveau erwartet</t>
  </si>
  <si>
    <t>0,50 PP</t>
  </si>
  <si>
    <t>2022: https://reports.beiersdorf.com/geschaeftsbericht/2022/_assets/downloads/entire-beiersdorf-gb22.pdf?h=BWs5hys8</t>
  </si>
  <si>
    <t>0,20 PP</t>
  </si>
  <si>
    <t>Leicht über Vorjahr geschätzt</t>
  </si>
  <si>
    <t>0,60 PP</t>
  </si>
  <si>
    <t>2023: https://reports.beiersdorf.com/geschaeftsbericht/2023/_assets/downloads/entire-beiersdorf-gb23.pdf?h=YzK4wNp_</t>
  </si>
  <si>
    <t>-0,70 PP</t>
  </si>
  <si>
    <t>-1,2 PP</t>
  </si>
  <si>
    <t>-4,30 PP</t>
  </si>
  <si>
    <t>2024: https://reports.beiersdorf.com/geschaeftsbericht/2024/_assets/downloads/entire-beiersdorf-gb24.pdf?h=R7Y3_PC-</t>
  </si>
  <si>
    <t>1,40 PP</t>
  </si>
  <si>
    <t>2019: https://www.bmwgroup.com/content/dam/grpw/websites/bmwgroup_com/ir/downloads/de/2020/gb/BMW-GB19_de_Finanzbericht.pdf</t>
  </si>
  <si>
    <t>2020: https://www.bmwgroup.com/content/dam/grpw/websites/bmwgroup_com/ir/downloads/de/2021/bericht/BMW-Group-Bericht-2020-DE.pdf</t>
  </si>
  <si>
    <t>7,60 PP</t>
  </si>
  <si>
    <t>2021: https://www.bmwgroup.com/content/dam/grpw/websites/bmwgroup_com/ir/downloads/de/2022/bericht/BMW-Group-Bericht-2021-de.pdf</t>
  </si>
  <si>
    <t>2022: https://www.bmwgroup.com/content/dam/grpw/websites/bmwgroup_com/ir/downloads/de/2023/bericht/BMW-Group-Bericht-2022-de.pdf</t>
  </si>
  <si>
    <t>2023: https://www.bmwgroup.com/content/dam/grpw/websites/bmwgroup_com/ir/downloads/de/2024/bericht/BMW-Group-Bericht-2023-de.pdf</t>
  </si>
  <si>
    <t>-3,50 PP</t>
  </si>
  <si>
    <t>2024: https://www.bmwgroup.com/de/bericht/2024/downloads/BMW-Group-Bericht-2024-de.pdf</t>
  </si>
  <si>
    <t>2019: https://www.continental.com/fileadmin/__imported/sites/corporate/_international/german/hubpages/30_20investor_20relations/40_20finanzberichte/gesch_c3_a4ftsberichte/downloads/gesch_c3_a4ftsbericht_202019.pdf</t>
  </si>
  <si>
    <t>-4,80 Mrd. EUR</t>
  </si>
  <si>
    <t>2020: https://www.continental.com/fileadmin/__imported/sites/corporate/_international/german/hubpages/30_20investor_20relations/40_20finanzberichte/gesch_c3_a4ftsberichte/downloads/gesch_c3_a4ftsbericht_202020.pdf</t>
  </si>
  <si>
    <t>-3,90 PP</t>
  </si>
  <si>
    <t>-2 PP</t>
  </si>
  <si>
    <t>-6,70 Mrd. EUR</t>
  </si>
  <si>
    <t>2021: https://www.continental.com/fileadmin/__imported/sites/corporate/_international/german/hubpages/30_20investor_20relations/40_20finanzberichte/gesch_c3_a4ftsberichte/downloads/continental_geschaeftsbericht_2021_so.pdf</t>
  </si>
  <si>
    <t>2,10 PP</t>
  </si>
  <si>
    <t>2022: https://www.continental.com/fileadmin/__imported/sites/corporate/_international/german/hubpages/30_20investor_20relations/40_20finanzberichte/gesch_c3_a4ftsberichte/downloads/continental_geschaeftsbericht_2022.pdf</t>
  </si>
  <si>
    <t>-0,60 PP</t>
  </si>
  <si>
    <t>-0,60 Mrd. EUR</t>
  </si>
  <si>
    <t>2023: https://www.continental.com/fileadmin/__imported/sites/corporate/_international/german/hubpages/30_20investor_20relations/40_20finanzberichte/gesch_c3_a4ftsberichte/downloads/geschaeftsbericht_2023.pdf</t>
  </si>
  <si>
    <t>1,10 PP</t>
  </si>
  <si>
    <t>-1,30 Mrd. EUR</t>
  </si>
  <si>
    <t>2024: https://www.continental.com/fileadmin/__imported/sites/corporate/_international/german/hubpages/30_20investor_20relations/40_20finanzberichte/gesch_c3_a4ftsberichte/downloads/geschaeftsbericht-2024.pdf</t>
  </si>
  <si>
    <t>0,70 PP</t>
  </si>
  <si>
    <t>2019: https://bericht.covestro.com/geschaeftsbericht-2019/serviceseiten/downloads/files/covestro_gb19_gesamt.pdf</t>
  </si>
  <si>
    <t>Beide KPI's fehlen im Jahr 2019 und 2020</t>
  </si>
  <si>
    <t>2020: https://www.bericht.covestro.com/geschaeftsbericht-2020/serviceseiten/downloads/files/covestro-ar20-entire.pdf</t>
  </si>
  <si>
    <t>2021: https://bericht.covestro.com/geschaeftsbericht-2021/serviceseiten/downloads/files/entire-covestro-ar21.pdf</t>
  </si>
  <si>
    <t>Umsatzprognose als KPI fehlt</t>
  </si>
  <si>
    <t>-883 Mio. EUR</t>
  </si>
  <si>
    <t>2022: https://bericht.covestro.com/geschaeftsbericht-2022/_assets/downloads/covestro-ar22-entire.pdf</t>
  </si>
  <si>
    <t>2023: https://bericht.covestro.com/geschaeftsbericht-2023/_assets/downloads/covestro-ar23-entire.pdf</t>
  </si>
  <si>
    <t>Deutlich unterhalb des Vorjahres</t>
  </si>
  <si>
    <t>2024: https://geschaeftsbericht.covestro.com/ecomaXL/files/Covestro_2024_GB_DE.pdf</t>
  </si>
  <si>
    <t>2019: https://group.mercedes-benz.com/dokumente/investoren/berichte/geschaeftsberichte/daimler/daimler-ir-geschaeftsbericht-2019-inkl-zusammengefasster-lagebericht-daimler-ag.pdf</t>
  </si>
  <si>
    <t>Veränderung von -11%, richtung verfehlt</t>
  </si>
  <si>
    <t>2020: https://group.mercedes-benz.com/dokumente/investoren/berichte/geschaeftsberichte/daimler/daimler-ir-geschaeftsbericht-2020-inkl-zusammengefasster-lagebericht-daimler-ag.pdf</t>
  </si>
  <si>
    <t>Bewegungen auf Niveau des Vorjahres</t>
  </si>
  <si>
    <t>% (bereinigte Umsatzrendite)</t>
  </si>
  <si>
    <t>Eingetroffen, fortgeführte Aktivitäten +9%</t>
  </si>
  <si>
    <t>2021: https://group.mercedes-benz.com/dokumente/investoren/berichte/geschaeftsberichte/mercedes-benz/mercedes-benz-ir-geschaeftsbericht-2021-inkl-zusammengefasster-lagebericht-mbg-ag.pdf</t>
  </si>
  <si>
    <t>Deutlich über dem Vorjahresniveau</t>
  </si>
  <si>
    <t>5,80 PP</t>
  </si>
  <si>
    <t>Richtung getroffen, intensität übertroffen +12% (deutlich über)</t>
  </si>
  <si>
    <t>2022: https://group.mercedes-benz.com/dokumente/investoren/berichte/geschaeftsberichte/mercedes-benz/mercedes-benz-geschaeftsbericht-2022-inkl-zusammengefasster-lagebericht-mbg-ag.pdf</t>
  </si>
  <si>
    <t>Leicht über dem Vorjahresniveau</t>
  </si>
  <si>
    <t>1,50 PP</t>
  </si>
  <si>
    <t>2% über Vorjahresniveau</t>
  </si>
  <si>
    <t>2023: https://group.mercedes-benz.com/dokumente/investoren/berichte/geschaeftsberichte/mercedes-benz/mercedes-benz-geschaeftsbericht-2023-inkl-zusammengefasster-lagebericht-mbg-ag.pdf</t>
  </si>
  <si>
    <t>-4% unter Vorjahresniveau</t>
  </si>
  <si>
    <t>2024: https://group.mercedes-benz.com/dokumente/investoren/berichte/geschaeftsberichte/mercedes-benz/mercedes-benz-geschaeftsbericht-2024-inkl-zusammengefasster-lagebericht-mbg-ag.pdf</t>
  </si>
  <si>
    <t>-4,50 PP</t>
  </si>
  <si>
    <t>-1,90 PP</t>
  </si>
  <si>
    <t>2019: https://investor-relations.db.com/files/documents/annual-reports/Deutsche_Bank_Geschaeftsbericht_2019.pdf?language_id=3</t>
  </si>
  <si>
    <t>2020: https://investor-relations.db.com/files/documents/annual-reports/Geschaeftsbericht_2020.pdf?language_id=3</t>
  </si>
  <si>
    <t>Im Vergleich zum Vorjahr geringfügig niedriger</t>
  </si>
  <si>
    <t>11,10 PP</t>
  </si>
  <si>
    <t>Gestiegen</t>
  </si>
  <si>
    <t>Sinkend/Belastet</t>
  </si>
  <si>
    <t>2020: https://investor-relations.db.com/files/documents/annual-reports/Geschaeftsbericht_2020.pdf?language_id=2</t>
  </si>
  <si>
    <t>2021: https://investor-relations.db.com/files/documents/annual-reports/2022/Geschaeftsbericht_2021.pdf</t>
  </si>
  <si>
    <t>2022: https://investor-relations.db.com/files/documents/annual-reports/2023/Geschaeftsbericht-2022.pdf</t>
  </si>
  <si>
    <t>5,60 PP</t>
  </si>
  <si>
    <t>2023: https://investor-relations.db.com/files/documents/annual-reports/2024/DB-AG-Geschaeftsbericht-2023.pdf</t>
  </si>
  <si>
    <t>2024: https://investor-relations.db.com/files/documents/other-presentations-and-events/2024/Geschaeftsbericht-2024-3.pdf</t>
  </si>
  <si>
    <t>2019: https://www.deutsche-boerse.com/resource/blob/1749860/8ee22f267b84c67dc6776364e4d5d7f4/data/GDB-Geschaeftsbericht-2019.pdf</t>
  </si>
  <si>
    <t>2020: https://www.deutsche-boerse.com/resource/blob/2375638/9a085f1cd07c831a22a7934d533864b6/data/GDB-Geschaeftsbericht-2020.pdf</t>
  </si>
  <si>
    <t>2021: https://www.deutsche-boerse.com/resource/blob/2726052/e7f5561fc3c47ede792e04c0c3d824ad/data/GDB-Geschaeftsbericht-2021.pdf</t>
  </si>
  <si>
    <t>2022: https://www.deutsche-boerse.com/resource/blob/3374250/f4ff0100dab4e1231f5b903bdca4e6a7/data/GDB-Geschaeftsbericht-2022.pdf</t>
  </si>
  <si>
    <t>2023: https://www.deutsche-boerse.com/resource/blob/3811978/79e033d9ff1ae3dba9c4297ee3348c4f/data/GDB-Geschaeftsbericht-2023.pdf</t>
  </si>
  <si>
    <t>2024: https://www.deutsche-boerse.com/resource/blob/4191614/7f772fdf9e768f3dbe56bda43a44ec42/data/GDB-Geschaeftsbericht-2024.pdf</t>
  </si>
  <si>
    <t>+ 5,60</t>
  </si>
  <si>
    <t>+ 3,20</t>
  </si>
  <si>
    <t>2019: https://group.dhl.com/content/dam/deutschepostdhl/de/media-center/investors/documents/geschaeftsberichte/DPDHL-Geschaeftsbericht-2019.pdf</t>
  </si>
  <si>
    <t>-0,20 Mrd. EUR</t>
  </si>
  <si>
    <t>2020: https://reporting-hub.group.dhl.com/ecomaXL/files/DPDHL-Geschaeftsbericht-2020.pdf</t>
  </si>
  <si>
    <t>+ 5</t>
  </si>
  <si>
    <t>2021: https://group.dhl.com/content/dam/deutschepostdhl/de/media-center/investors/documents/geschaeftsberichte/DPDHL-Geschaeftsbericht-2021.pdf</t>
  </si>
  <si>
    <t>2022: https://group.dhl.com/content/dam/deutschepostdhl/de/media-center/investors/documents/geschaeftsberichte/DPDHL-Geschaeftsbericht-2022.pdf</t>
  </si>
  <si>
    <t>2023: https://group.dhl.com/content/dam/deutschepostdhl/de/media-center/investors/documents/geschaeftsberichte/DHL-Group-Geschaeftsbericht-2023.pdf</t>
  </si>
  <si>
    <t>-0,10 Mrd. EUR</t>
  </si>
  <si>
    <t>2024: https://group.dhl.com/content/dam/deutschepostdhl/de/media-center/investors/documents/geschaeftsberichte/DHL-Group-Geschaeftsbericht-2024.pdf</t>
  </si>
  <si>
    <t>2019: https://bericht.telekom.com/geschaeftsbericht-2019/serviceseiten/downloads/files/entire_dtag_gb19.pdf</t>
  </si>
  <si>
    <t>2020: https://bericht.telekom.com/geschaeftsbericht-2020/_assets/downloads/entire-dtag-gb20.pdf</t>
  </si>
  <si>
    <t>Weiterer Anstieg erwartet</t>
  </si>
  <si>
    <t>2021: https://bericht.telekom.com/geschaeftsbericht-2021/_assets/downloads/entire-dtag-gb21.pdf</t>
  </si>
  <si>
    <t>Leichter Anstieg erwartet</t>
  </si>
  <si>
    <t>2022: https://bericht.telekom.com/geschaeftsbericht-2022/_assets/downloads/entire-dtag-gb22.pdf</t>
  </si>
  <si>
    <t>Stabiler Verlauf erwartet</t>
  </si>
  <si>
    <t>Keinen Ansteig, gefallen um 2,40 Mrd. EUR</t>
  </si>
  <si>
    <t>2023: https://bericht.telekom.com/geschaeftsbericht-2023/_assets/downloads/entire-dtag-gb23.pdf</t>
  </si>
  <si>
    <t>-0,30 Mrd. EUR</t>
  </si>
  <si>
    <t>2024: https://bericht.telekom.com/geschaeftsbericht-2024/_assets/downloads/entire-dtag-gb24.pdf</t>
  </si>
  <si>
    <t>2019: https://www.eon.com/content/dam/eon/eon-com/investors/annual-report/GB19_D_final.pdf</t>
  </si>
  <si>
    <t>-0.10 Mrd. EUR</t>
  </si>
  <si>
    <t>2020: https://www.eon.com/content/dam/eon/eon-com/eon-com-assets/documents/investor-relations/de/geschaeftsbericht/GB20_D_final_internet.pdf</t>
  </si>
  <si>
    <t>2021: https://www.eon.com/content/dam/eon/eon-com/eon-com-assets/documents/investor-relations/de/geschaeftsbericht/GB21_D_gesamt.pdf</t>
  </si>
  <si>
    <t>2022: https://www.eon.com/content/dam/eon/eon-com/eon-com-assets/documents/investor-relations/de/geschaeftsbericht/GB2022_gesamt_DE_final.pdf</t>
  </si>
  <si>
    <t>2023: https://www.eon.com/content/dam/eon/eon-com/eon-com-assets/documents/investor-relations/de/geschaeftsbericht/EON_GB2023_gesamt_dt_final.pdf</t>
  </si>
  <si>
    <t>2024: https://www.eon.com/content/dam/eon/eon-com/eon-com-assets/documents/investor-relations/de/geschaeftsbericht/GB24-gesamt-DE_final.pdf</t>
  </si>
  <si>
    <t>2019: https://www.fresenius.com/sites/default/files/2022-01/Fresenius_Geschaeftsbericht_2019.pdf</t>
  </si>
  <si>
    <t>Anstieg beträgt 2,45%, also 1,55 PP unter Prognose</t>
  </si>
  <si>
    <t>2020: https://www.fresenius.com/sites/default/files/2022-02/Fresenius_Geschaeftsbericht_2020.pdf</t>
  </si>
  <si>
    <t>Gefallen</t>
  </si>
  <si>
    <t>2021: https://www.fresenius.com/sites/default/files/2021-11/Fresenius_Geschaeftsbericht_2021.pdf</t>
  </si>
  <si>
    <t>Stabil</t>
  </si>
  <si>
    <t>2022: https://report.fresenius.com/2024/geschaeftsbericht/_assets/downloads/fresenius-geschaeftsbericht-2022.pdf</t>
  </si>
  <si>
    <t>2023: https://www.fresenius.com/sites/default/files/2024-04/Fresenius_Geschaeftsbericht_2023_0.pdf</t>
  </si>
  <si>
    <t>Die Vorjahreswerte wurden infolge der Anwendung von IFRS 5 auf die dekonsolidierten Aktivitäten der Fresenius Medical Care angepasst.</t>
  </si>
  <si>
    <t>2024: https://www.fresenius.com/sites/default/files/2025-03/Fresenius_Geschaeftsbericht_2024.pdf</t>
  </si>
  <si>
    <t>Die Vorjahreswerte wurden infolge von Desinvestitionen und der Dekonsolidierung der Fresenius Medical Care angepasst</t>
  </si>
  <si>
    <t>2019: https://freseniusmedicalcare.com/content/dam/fresenius-medical-care/global/en/03_investors/pdf/03_publications/2019/FME_Geschaeftsbericht_2019.pdf</t>
  </si>
  <si>
    <t>Wachstumsrate von 2,19%</t>
  </si>
  <si>
    <t>2020: https://freseniusmedicalcare.com/content/dam/fresenius-medical-care/global/en/03_investors/pdf/03_publications/2020/FME_Geschaeftsbericht_2020_DE.pdf</t>
  </si>
  <si>
    <t>2021: https://freseniusmedicalcare.com/content/dam/fresenius-medical-care/global/en/04_media/pdf/FME_Geschaeftsbericht_2021_DE.pdf</t>
  </si>
  <si>
    <t>2022: https://freseniusmedicalcare.com/content/dam/fresenius-medical-care/global/en/04_media/pdf/FME_Geschaeftsbericht_2022_DE%20(1).pdf</t>
  </si>
  <si>
    <t>2023: https://freseniusmedicalcare.com/content/dam/fresenius-medical-care/global/en/04_media/pdf/FME_Geschaeftsbericht_2023_DE.pdf</t>
  </si>
  <si>
    <t>2024: https://freseniusmedicalcare.com/content/dam/fresenius-medical-care/global/en/04_media/pdf/publications/2024/FME_Geschaeftsbericht_2024_DE.pdf</t>
  </si>
  <si>
    <t>Wachstumsrate von 3,22%</t>
  </si>
  <si>
    <t>2019: https://www.heidelbergmaterials.com/sites/default/files/assets/document/7f/dd/geschaeftsbericht_2019.pdf</t>
  </si>
  <si>
    <t>2020: https://www.heidelbergmaterials.com/sites/default/files/assets/document/75/70/geschaeftsbericht-heidelbergcement-2020.pdf</t>
  </si>
  <si>
    <t>2021: https://www.heidelbergmaterials.com/sites/default/files/2022-03/geschaeftsbericht-heidelbergcement-2021_0.pdf</t>
  </si>
  <si>
    <t>2022: https://www.heidelbergmaterials.com/sites/default/files/2023-05/HM_Gesch%C3%A4fts-_und_Nachhaltigkeitsbericht_2022.pdf</t>
  </si>
  <si>
    <t>Starker Anstieg erwartet</t>
  </si>
  <si>
    <t>2023: https://www.heidelbergmaterials.com/sites/default/files/2024-03/HM_GNB_2023.pdf</t>
  </si>
  <si>
    <t>Moderater Anstieg erwartet</t>
  </si>
  <si>
    <t>2024: https://www.heidelbergmaterials.com/sites/default/files/2025-03/HM_GNB24_de.pdf</t>
  </si>
  <si>
    <t>2019: https://www.henkel.de/resource/blob/1040424/11874f9ee6952bd69c7dbd27d4055ce7/data/2019-gesch%C3%A3-ftsbericht.pdf</t>
  </si>
  <si>
    <t>2020: https://www.henkel.de/resource/blob/1155328/2926cc4d3ef39d7cd9a697d086b5148f/data/2020-geschaeftsbericht.pdf</t>
  </si>
  <si>
    <t>-2,60 PP</t>
  </si>
  <si>
    <t>-1,60 PP</t>
  </si>
  <si>
    <t>8,50 PP</t>
  </si>
  <si>
    <t>2021: https://www.henkel.de/resource/blob/1616946/7f5691aca6fc912c747feeb33c396216/data/2021-geschaeftsbericht.pdf</t>
  </si>
  <si>
    <t>0 PP</t>
  </si>
  <si>
    <t>-0,10 PP</t>
  </si>
  <si>
    <t>1 PP</t>
  </si>
  <si>
    <t>2022: https://www.henkel.de/resource/blob/1804848/f0b1d97b296713dae1934cad8271fb8d/data/2022-geschaeftsbericht.pdf</t>
  </si>
  <si>
    <t>-1,10 PP</t>
  </si>
  <si>
    <t>-4,60 PP</t>
  </si>
  <si>
    <t>2023: https://www.henkel.de/resource/blob/1935230/dec84c608d79c0ca2694cb169108e9cf/data/2023-geschaeftsbericht.pdf</t>
  </si>
  <si>
    <t>2024: https://www.henkel.de/resource/blob/2043308/44441de22bcd27879af8d79d7cde562b/data/2024-geschaeftsbericht.pdf</t>
  </si>
  <si>
    <t>2,40 PP</t>
  </si>
  <si>
    <t>2019: https://www.infineon.com/assets/row/public/documents/corporate/investors/annual-reports/2019/infineon-geschaeftsbericht-report-v10-00-de.pdf</t>
  </si>
  <si>
    <t>2020: https://www.infineon.com/assets/row/public/documents/corporate/investors/annual-reports/2020/infineon-geschaeftsbericht-report-v11-00-de.pdf</t>
  </si>
  <si>
    <t>Unter Berücksichtigung der Akquisition von Cypress</t>
  </si>
  <si>
    <t>Deutlicher Anstieg</t>
  </si>
  <si>
    <t>-2,70 PP</t>
  </si>
  <si>
    <t>Rückgang</t>
  </si>
  <si>
    <t>2021: https://www.infineon.com/assets/row/public/documents/corporate/investors/annual-reports/2021/infineon-geschaeftsbericht-report-v12-00-de.pdf</t>
  </si>
  <si>
    <t>5 PP</t>
  </si>
  <si>
    <t>2022: https://www.infineon.com/assets/row/public/documents/corporate/investors/annual-reports/2022/infineon-geschaeftsbericht-report-v13-00-de.pdf</t>
  </si>
  <si>
    <t>5,10 PP</t>
  </si>
  <si>
    <t>2023: https://www.infineon.com/assets/row/public/documents/corporate/investors/annual-reports/2023/2023-infineon-geschaeftsbericht-v01-00-de1.pdf</t>
  </si>
  <si>
    <t>3,20 PP</t>
  </si>
  <si>
    <t>-1.545 Mio. EUR</t>
  </si>
  <si>
    <t>2024: https://www.infineon.com/assets/row/public/documents/corporate/investors/annual-reports/2024/2024-infineon-geschaeftsbericht-v01-00-de.pdf</t>
  </si>
  <si>
    <t>-6,20 PP</t>
  </si>
  <si>
    <t>-3,20 PP</t>
  </si>
  <si>
    <t>2019: https://investor-relations.lufthansagroup.com/fileadmin/downloads/de/finanzberichte/geschaeftsberichte/LH-GB-2019-d.pdf</t>
  </si>
  <si>
    <t>2020: https://investor-relations.lufthansagroup.com/fileadmin/downloads/de/finanzberichte/geschaeftsberichte/LH-GB-2020-d.pdf</t>
  </si>
  <si>
    <t>Ergebnisrückgang vermutet, also Prognose über Konzernergebnis</t>
  </si>
  <si>
    <t>2021: https://investor-relations.lufthansagroup.com/fileadmin/downloads/de/finanzberichte/geschaeftsberichte/LH-GB-2021-d.pdf</t>
  </si>
  <si>
    <t>Anstieg erwartet</t>
  </si>
  <si>
    <t>Um 3,1 Mrd. EUR gestiegen</t>
  </si>
  <si>
    <t>Unterhalb des Vorjahres</t>
  </si>
  <si>
    <t>2022: https://investor-relations.lufthansagroup.com/fileadmin/downloads/de/finanzberichte/geschaeftsberichte/LH-GB-2022-d.pdf</t>
  </si>
  <si>
    <t>Oberhalb Vorjahr erwartet</t>
  </si>
  <si>
    <t>Vorjahreszahl angepasst aufgrund von Anpassungen der Kennzahlendefinition</t>
  </si>
  <si>
    <t>Richtung getroffen</t>
  </si>
  <si>
    <t>2023: https://investor-relations.lufthansagroup.com/fileadmin/downloads/de/finanzberichte/geschaeftsberichte/LH-GB-2023-d.pdf</t>
  </si>
  <si>
    <t>Vorjahreszahlen angepasst aufgrund des Verkaufs der LSG Group</t>
  </si>
  <si>
    <t>Deutlicher Anstieg erwartet</t>
  </si>
  <si>
    <t>2024: https://investor-relations.lufthansagroup.com/fileadmin/downloads/de/finanzberichte/geschaeftsberichte/LH-GB-2024-d.pdf</t>
  </si>
  <si>
    <t>2019: https://www.merckgroup.com/investors/reports-and-financials/earnings-materials/2019-q4/de/2019-Q4-Report-DE.pdf</t>
  </si>
  <si>
    <t>2020: https://reports.merckgroup.com/de/geschaeftsbericht/2020/serviceseiten/downloads/files/entire-merck-gb20.pdf</t>
  </si>
  <si>
    <t>Solides Wachstum</t>
  </si>
  <si>
    <t>Starkes Wachstum</t>
  </si>
  <si>
    <t>2021: https://reports.merckgroup.com/de/geschaeftsbericht/2021/_assets/downloads/entire-merck-gb21.pdf</t>
  </si>
  <si>
    <t>Wachstum im prozentual hohen einstelligen bis niedrigen Zehnerbereich</t>
  </si>
  <si>
    <t>2022: https://reports.merckgroup.com/de/geschaeftsbericht/2022/_assets/downloads/entire-merck-gb22.pdf</t>
  </si>
  <si>
    <t>2023: https://reports.merckgroup.com/de/geschaeftsbericht/2023/_assets/downloads/entire-merck-gb23.pdf</t>
  </si>
  <si>
    <t>Leichtes bis solides Wachstum</t>
  </si>
  <si>
    <t>Moderater Rückgang bis in etwa stabil</t>
  </si>
  <si>
    <t>2024: https://reports.merckgroup.com/de/geschaeftsbericht/2024/_assets/downloads/entire-merck-gb24.pdf</t>
  </si>
  <si>
    <t>Leichtes bis moderates Wachstum</t>
  </si>
  <si>
    <t>2019: https://www.mtu.de/fileadmin/DE/5_Investoren/Financial_Report/2019_Geschaeftsbericht.pdf</t>
  </si>
  <si>
    <t>2020: https://www.mtu.de/fileadmin/DE/5_Investoren/Financial_Report/Geschaeftsbericht_2020_de_locked.pdf</t>
  </si>
  <si>
    <t>Wachstum im niedrigen Zehner-Prozentbereich</t>
  </si>
  <si>
    <t>Wachstum im hohen einstelligen Prozentbereich</t>
  </si>
  <si>
    <t>-82 Mio. EUR</t>
  </si>
  <si>
    <t>2021: https://www.mtu.de/fileadmin/DE/5_Investoren/Financial_Report/MTU_Geschaeftsbericht_2021_de.pdf</t>
  </si>
  <si>
    <t>2022: https://www.mtu.de/fileadmin/DE/5_Investoren/Financial_Report/MTU_GB2022_de_mLinks_locked.pdf</t>
  </si>
  <si>
    <t>Wachstum im mittleren Zwanziger-Prozentbereich</t>
  </si>
  <si>
    <t>-737 Mio EUR</t>
  </si>
  <si>
    <t>2023: https://www.mtu.de/fileadmin/DE/5_Investoren/Financial_Report/MTU_GB2023_de_locked.pdf</t>
  </si>
  <si>
    <t>2024: https://www.mtu.de/fileadmin/DE/5_Investoren/Financial_Report/MTUAeroEnginesAG_Geschaeftsbericht_2024_de_locked.pdf</t>
  </si>
  <si>
    <t>Bereinigter Umsatz statt Umsatz</t>
  </si>
  <si>
    <t>2019: https://www.munichre.com/content/dam/munichre/mrwebsiteslaunches/2019-annual-report/MunichRe-Konzerngeschaeftsbericht-2019-de.pdf/_jcr_content/renditions/original./MunichRe-Konzerngeschaeftsbericht-2019-de.pdf</t>
  </si>
  <si>
    <t>-1.289 Mio. EUR</t>
  </si>
  <si>
    <t>2020: https://www.munichre.com/content/dam/munichre/mrwebsiteslaunches/2020-annual-report/MunichRe-Konzerngeschaeftsbericht-2020-de.pdf/_jcr_content/renditions/original./MunichRe-Konzerngeschaeftsbericht-2020-de.pdf</t>
  </si>
  <si>
    <t>2021: https://www.munichre.com/content/dam/munichre/mrwebsiteslaunches/2021-annual-report/MunichRe-Konzerngeschaeftsbericht-2021-de.pdf/_jcr_content/renditions/original./MunichRe-Konzerngeschaeftsbericht-2021-de.pdf</t>
  </si>
  <si>
    <t>2022: https://www.munichre.com/content/dam/munichre/mrwebsiteslaunches/2022-annual-report/MunichRe-Konzerngeschaeftsbericht-2022-de.pdf/_jcr_content/renditions/original./MunichRe-Konzerngeschaeftsbericht-2022-de.pdf</t>
  </si>
  <si>
    <t>2023: https://www.munichre.com/content/dam/munichre/mrwebsiteslaunches/2023-annual-report/MunichRe-Konzerngeschaeftsbericht-2023-de.pdf/_jcr_content/renditions/original./MunichRe-Konzerngeschaeftsbericht-2023-de.pdf</t>
  </si>
  <si>
    <t>Vorjahreszahlen angepasst aufgrund der Erstanwendung von IFRS 17 sowie Änderungen der Darstellung und Gliederung</t>
  </si>
  <si>
    <t>2024: https://www.munichre.com/content/dam/munichre/mrwebsiteslaunches/2024-annual-report/MunichRe-Konzerngeschaeftsbericht-2024-de.pdf/_jcr_content/renditions/original./MunichRe-Konzerngeschaeftsbericht-2024-de.pdf</t>
  </si>
  <si>
    <t>2019: https://www.rwe.com/-/media/RWE/documents/05-investor-relations/finanzkalendar-und-veroeffentlichungen/2019-Q4/20-03-12-RWE-Geschaeftsbericht-2019.pdf</t>
  </si>
  <si>
    <t>2020: https://www.rwe.com/-/media/RWE/documents/05-investor-relations/finanzkalendar-und-veroeffentlichungen/2020-Q4/2021-03-16-rwe-geschaeftsbericht-2020.pdf?sc_lang=de-DE</t>
  </si>
  <si>
    <t>2021: https://www.rwe.com/-/media/RWE/documents/05-investor-relations/finanzkalendar-und-veroeffentlichungen/2021-GJ/2022-03-15-rwe-geschaeftsbericht-2021.pdf?sc_lang=de-DE</t>
  </si>
  <si>
    <t>Angepasster Vorjahreswert infolge einer geänderten Erfassung von Steuervergünstigungen zur Förderung erneuerbarer Energien in den USA</t>
  </si>
  <si>
    <t>2022: https://www.rwe.com/-/media/RWE/documents/05-investor-relations/finanzkalendar-und-veroeffentlichungen/2022-GJ/2023-03-21-rwe-geschaeftsbericht-2022.pdf</t>
  </si>
  <si>
    <t>2023: https://www.rwe.com/-/media/RWE/documents/05-investor-relations/finanzkalendar-und-veroeffentlichungen/2023-Q4/2024-03-14-rwe-geschaeftsbericht-2023.pdf</t>
  </si>
  <si>
    <t>2024: https://www.rwe.com/-/media/RWE/documents/05-investor-relations/finanzkalendar-und-veroeffentlichungen/2024-gj/2025-03-20-rwe-geschaeftsbericht-2024.pdf</t>
  </si>
  <si>
    <t>Angepasster Vorjahreswert</t>
  </si>
  <si>
    <t>2019: https://www.sap.com/docs/download/investors/2019/sap-2019-integrierter-bericht.pdf</t>
  </si>
  <si>
    <t>-0,98 Mrd. EUR</t>
  </si>
  <si>
    <t>2020: https://www.sap.com/docs/download/investors/2020/sap-2020-integrierter-bericht.pdf</t>
  </si>
  <si>
    <t>-0,40 Mrd. EUR</t>
  </si>
  <si>
    <t>2021: https://www.sap.com/docs/download/investors/2021/sap-2021-integrierter-bericht.pdf</t>
  </si>
  <si>
    <t>2022: https://www.sap.com/docs/download/investors/2022/sap-2022-integrierter-bericht.pdf</t>
  </si>
  <si>
    <t>-0,12 Mrd. EUR</t>
  </si>
  <si>
    <t>-0,56 Mrd. EUR</t>
  </si>
  <si>
    <t>2023: https://www.sap.com/docs/download/investors/2023/sap-2023-integrierter-bericht.pdf</t>
  </si>
  <si>
    <t>2024: https://www.sap.com/docs/download/investors/2024/sap-2024-integrierter-bericht.pdf</t>
  </si>
  <si>
    <t>2019: https://assets.new.siemens.com/siemens/assets/api/uuid:bb722ca2-ba5e-4886-a59c-a31f5cb10508/siemens-gb2019.pdf</t>
  </si>
  <si>
    <t>2020: https://assets.new.siemens.com/siemens/assets/api/uuid:786b2ce1-f20b-4f53-a128-881370ba8155/siemens-gb2020.pdf</t>
  </si>
  <si>
    <t>Keine quantitative Konzernprognose -&gt; kein Fehlerwert; Ist 14,3 %</t>
  </si>
  <si>
    <t>Keine quantitative Konzern-Bandbreite; nur Segmentbänder prognostiziert | Nur Segmentbaender prognostiziert (z. B. Digital Industries 17-18 %), keine Konzern-Bandbreite (GB 2019, S. 28)</t>
  </si>
  <si>
    <t>2021: https://assets.ctfassets.net/17si5cpawjzf/6leM5qPTWTfQKBvYg32hhP/11d10b9bf64054f9b4302c528cfa9a0c/siemens-jahresbericht2021.pdf</t>
  </si>
  <si>
    <t>Vergütungsbericht, S.36</t>
  </si>
  <si>
    <t>Lagebericht; S.18</t>
  </si>
  <si>
    <t>Stark belastet - Fallend</t>
  </si>
  <si>
    <t>Lagebericht, S.27</t>
  </si>
  <si>
    <t>2022: https://assets.ctfassets.net/17si5cpawjzf/7uGAq7GadIzwuLAhfFBMBZ/ce4b67be533e9679953cf119220e3cf8/siemens-geschaftsbericht-2022-de.pdf</t>
  </si>
  <si>
    <t>Lagebericht, S.22</t>
  </si>
  <si>
    <t>Lagebericht, S.28</t>
  </si>
  <si>
    <t>EUR je Aktie (EPS pre PPA)</t>
  </si>
  <si>
    <t>Negativ außerhalb Prognose (unterhalb)</t>
  </si>
  <si>
    <t>Lagebericht, S.16</t>
  </si>
  <si>
    <t>Ist 5,47 EUR inkl. -3,37 EUR Wertminderung Siemens-Energy-Beteiligung; operativ im Zielkorridor -&gt; Sondereffekt bei Interpretation beruecksichtigen</t>
  </si>
  <si>
    <t>Lagebericht, S.25</t>
  </si>
  <si>
    <t>2,80 PP</t>
  </si>
  <si>
    <t>2023: https://assets.ctfassets.net/17si5cpawjzf/75NjPd0MkpOq6dkbksOUYX/e40b843c91dea22b80cf0dd8964410ef/siemens-annual-report-2023-de.pdf</t>
  </si>
  <si>
    <t>Ohne Berücksichtigung von Siemens Energy Beteiligung</t>
  </si>
  <si>
    <t>Lagebericht, S. 25</t>
  </si>
  <si>
    <t>-8 PP</t>
  </si>
  <si>
    <t>-1 PP</t>
  </si>
  <si>
    <t>2024: https://assets.new.siemens.com/siemens/assets/api/uuid:b0c27e7a-f0bf-48d6-bfa7-721ba225122b/Siemens-Geschaftsbericht-2024.pdf</t>
  </si>
  <si>
    <t>Lagebericht, S.23</t>
  </si>
  <si>
    <t>Mit Berücksichtigung von Siemens Energy Beteiligung</t>
  </si>
  <si>
    <t>2019: https://uploads.vw-mms.de/system/production/documents/cws/002/011/file_de/5df3fd3633e531afd8ea4650cfa37512da1841e2/Y_2019_d.pdf?1686141566</t>
  </si>
  <si>
    <t>2020: https://uploads.vw-mms.de/system/production/documents/cws/002/093/file_de/868835864332003640ad7f68cc0aa90eb25ed3c1/Y_2020_d.pdf?1686322713</t>
  </si>
  <si>
    <t>Bis zur 4% über dem Vorjahreswert</t>
  </si>
  <si>
    <t>2021: https://uploads.vw-mms.de/system/production/documents/cws/001/791/file_de/294a66ed40e570ea9dce9464773054069ecda16f/Y_2021_d.pdf?1712658733</t>
  </si>
  <si>
    <t>Signifikant über dem Vorjahreswert</t>
  </si>
  <si>
    <t>3,40 PP</t>
  </si>
  <si>
    <t>2022: https://uploads.vw-mms.de/system/production/documents/cws/001/677/file_de/8bf85b8f8987b66fb9492394ebb6886d7fc68e5b/Y_2022_d.pdf?1682597521</t>
  </si>
  <si>
    <t>8 bis 13% über dem Vorjahreswert</t>
  </si>
  <si>
    <t>2023: https://uploads.vw-mms.de/system/production/documents/cws/002/671/file_de/0638247dc949c755ddfa5ceba53df467a704db17/Y_2023_d.pdf?1711034295</t>
  </si>
  <si>
    <t>Das Vorjahr wurde angepasst (geänderter IFRS)</t>
  </si>
  <si>
    <t>10 bis 15% über dem Vorjahreswert</t>
  </si>
  <si>
    <t>-0,90 PP</t>
  </si>
  <si>
    <t>-0,50 PP</t>
  </si>
  <si>
    <t>Bis zur 5% über dem Vorjahreswert</t>
  </si>
  <si>
    <t>2019: https://reports.vonovia.de/2019/geschaeftsbericht/_assets/downloads/entire_vonovia_ar19.pdf</t>
  </si>
  <si>
    <t>2020: https://reports.vonovia.de/2020/geschaeftsbericht/_assets/downloads/entire-vonovia-ar20.pdf</t>
  </si>
  <si>
    <t>2021: https://report.vonovia.com/2021/q4/app/uploads/VONOVIA-SE_Geschaeftsbericht_2021.pdf</t>
  </si>
  <si>
    <t>Istwert exkl. Deutsche Wohnen SE (2021 erst von Vonovia übernommen)</t>
  </si>
  <si>
    <t>2022: https://report.vonovia.com/2022/q4/app/uploads/Vonovia-SE_Geschaeftsbericht-2022.pdf</t>
  </si>
  <si>
    <t>Basierend auf der neuen Definition 2022 ohne Eliminierung IFRS 16-Effekt</t>
  </si>
  <si>
    <t>Vorjahreswert an neue Bereinigtes EBITDA-Definition angepasst</t>
  </si>
  <si>
    <t>2023: https://report.vonovia.com/2023/q4/app/uploads/Vonovia-SE_Geschaeftsbericht-2023.pdf</t>
  </si>
  <si>
    <t>Wert inkl. aufgegebener Geschäftsbereiche</t>
  </si>
  <si>
    <t>Ab 2023 kein Group FFO mehr Prognostiziert -&gt; KPI1 fehlend</t>
  </si>
  <si>
    <t>2024: https://report.vonovia.com/2024/q4/app/uploads/Vonovia-SE_Geschaeftsbericht-2024.pdf</t>
  </si>
  <si>
    <t>Werte mit fortgeführten Geschäftsbereichen</t>
  </si>
  <si>
    <t>Thema</t>
  </si>
  <si>
    <t>Regel</t>
  </si>
  <si>
    <t>Fehler</t>
  </si>
  <si>
    <t>Fehler = Prognose_final - Ist_Wert. Positiv = Ueberschaetzung, negativ = Unterschaetzung. Einheit = Einheit der Zeile (EUR bzw. Prozentpunkte).</t>
  </si>
  <si>
    <t>Bandbreite / Punkt mit Korridor / verbal-quantifiziert -&gt; Mittelwert aus Unter- und Obergrenze; Punkt -&gt; Punktwert; qualitativ und fehlend -&gt; leer.</t>
  </si>
  <si>
    <t>Rel_Fehler / APE</t>
  </si>
  <si>
    <t>Nur fuer Angabetyp 'absolut' (EUR). Bei Margen und Wachstumsraten ist ein relativer Fehler nicht sinnvoll interpretierbar (Nulldurchgang, Vorzeichenwechsel); diese Beobachtungen werden ueber die Abweichung in Prozentpunkten ausgewertet.</t>
  </si>
  <si>
    <t>Zwei Teilstichproben</t>
  </si>
  <si>
    <t>Auswertung getrennt: (1) absolute KPIs in EUR -&gt; MAPE; (2) Margen-/Wachstumsraten-KPIs -&gt; mittlere absolute Abweichung in Prozentpunkten. Beide Kennzahlen sind nicht ineinander umrechenbar und werden getrennt ausgewiesen.</t>
  </si>
  <si>
    <t>innerhalb / oberhalb / unterhalb der Prognosebandbreite; 'Punktprognose' und 'nicht auswertbar' bleiben ausserhalb der Trefferquote. Bei Punktprognosen ist eine punktgenaue Uebereinstimmung praktisch ausgeschlossen.</t>
  </si>
  <si>
    <t>Punkt | Bandbreite | Punkt mit Korridor ('X +/- y') | verbal-quantifiziert (Wortlaut in Zahlen uebersetzt) | qualitativ (nur Richtungsaussage, kein Fehlerwert) | fehlend (kein Prognosewert im GB) | zurueckgezogen.</t>
  </si>
  <si>
    <t>Konvention verbale Angaben</t>
  </si>
  <si>
    <t>niedrig einstellig = 1-3 %, mittel einstellig = 4-6 %, hoch einstellig = 7-9 %, niedrig bis mittel = 1-6 %, mittel bis hoch = 4-9 %. Diese Uebersetzung ist eine methodische Setzung und in Kap. 3.2 offenzulegen.</t>
  </si>
  <si>
    <t>Konvention 'auf Vorjahresniveau'</t>
  </si>
  <si>
    <t>Bei qualitativen Prognosen mit Richtung 'stabil' gilt eine Ist-Abweichung bis +/- 3 % als Richtung getroffen.</t>
  </si>
  <si>
    <t>Originalformulierung aus dem Geschaeftsbericht. Die Spalten Prog_Untergrenze/-Obergrenze enthalten ausschliesslich Zahlen.</t>
  </si>
  <si>
    <t>Qualitative Zeilen</t>
  </si>
  <si>
    <t>Kein Fehlerwert. Basiswert und Ist dienen nur der Richtungspruefung; das Urteil steht in 'Rahmensprengung'.</t>
  </si>
  <si>
    <t>Einheiten</t>
  </si>
  <si>
    <t>Innerhalb einer Firma und eines KPI durchgaengig dieselbe Einheit. Prozentangaben als Dezimalwert (0,08 = 8 %) mit Prozentformat.</t>
  </si>
  <si>
    <t>Stichprobe</t>
  </si>
  <si>
    <t>DAX30 zum 01.01.2020 (Stand nach Indexanpassung 09/2019); ausgeschlossen: Wirecard (Insolvenz) und Linde plc (keine DRS-20-Prognoseberichtspflicht) -&gt; 28 Unternehmen, Ist-Jahre 2020-2024.</t>
  </si>
  <si>
    <t>Auswertung Prognosegenauigkeit der damaligen DAX30 Unternehmen (Ist-Jahre 2020-2024)</t>
  </si>
  <si>
    <t>2023: https://geschaeftsbericht2023.volkswagen-group.com/_assets/downloads/entire-vw-gb23.pdf?h=C2d89Y1l</t>
  </si>
  <si>
    <t>2024: https://uploads.vw-mms.de/system/production/documents/cws/002/931/file_de/953dcbb8e57270df70ca288218092dba4721fd63/2025-03-11-volkswagen-group-geschaeftsbericht-2024-de.pdf?1787732731</t>
  </si>
  <si>
    <t>Alle Links zuletzt am 10.09.2026 besucht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</si>
</sst>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5" x14ac:knownFonts="1">
    <font>
      <sz val="11"/>
      <color theme="1"/>
      <name val="Calibri"/>
      <family val="2"/>
      <charset val="1"/>
    </font>
    <font>
      <b/>
      <sz val="10"/>
      <color rgb="FFFFFFFF"/>
      <name val="Arial"/>
      <family val="2"/>
    </font>
    <font>
      <sz val="10"/>
      <name val="Arial"/>
      <family val="2"/>
    </font>
    <font>
      <sz val="10"/>
      <name val="Arial"/>
      <family val="2"/>
      <charset val="1"/>
    </font>
    <font>
      <i/>
      <sz val="9"/>
      <name val="Arial"/>
      <family val="2"/>
    </font>
    <font>
      <b/>
      <sz val="14"/>
      <name val="Arial"/>
      <family val="2"/>
    </font>
    <font>
      <b/>
      <sz val="11"/>
      <color rgb="FFFFFFFF"/>
      <name val="Arial"/>
      <family val="2"/>
    </font>
    <font>
      <b/>
      <sz val="10"/>
      <name val="Arial"/>
      <family val="2"/>
    </font>
    <font>
      <b/>
      <sz val="11"/>
      <name val="Arial"/>
      <family val="2"/>
    </font>
    <font>
      <sz val="10"/>
      <color rgb="FF0000FF"/>
      <name val="Arial"/>
      <family val="2"/>
    </font>
    <font>
      <sz val="11"/>
      <color rgb="FF006100"/>
      <name val="Aptos"/>
      <family val="2"/>
      <charset val="1"/>
    </font>
    <font>
      <sz val="11"/>
      <color rgb="FF9C5700"/>
      <name val="Aptos"/>
      <family val="2"/>
      <charset val="1"/>
    </font>
    <font>
      <sz val="10"/>
      <color rgb="FF0000FF"/>
      <name val="Arial"/>
      <family val="2"/>
      <charset val="1"/>
    </font>
    <font>
      <sz val="11"/>
      <color theme="1"/>
      <name val="Calibri"/>
      <family val="2"/>
      <charset val="1"/>
    </font>
    <font>
      <i/>
      <sz val="10"/>
      <name val="Arial"/>
      <family val="2"/>
    </font>
  </fonts>
  <fills count="9">
    <fill>
      <patternFill patternType="none"/>
    </fill>
    <fill>
      <patternFill patternType="gray125"/>
    </fill>
    <fill>
      <patternFill patternType="solid">
        <fgColor rgb="FF1F3864"/>
        <bgColor rgb="FF333399"/>
      </patternFill>
    </fill>
    <fill>
      <patternFill patternType="solid">
        <fgColor rgb="FFFFF2CC"/>
        <bgColor rgb="FFFFEB9C"/>
      </patternFill>
    </fill>
    <fill>
      <patternFill patternType="solid">
        <fgColor theme="0" tint="-0.34998626667073579"/>
        <bgColor rgb="FFAFABAB"/>
      </patternFill>
    </fill>
    <fill>
      <patternFill patternType="solid">
        <fgColor rgb="FF375623"/>
        <bgColor rgb="FF333300"/>
      </patternFill>
    </fill>
    <fill>
      <patternFill patternType="solid">
        <fgColor rgb="FFC6EFCE"/>
        <bgColor rgb="FFCCFFFF"/>
      </patternFill>
    </fill>
    <fill>
      <patternFill patternType="solid">
        <fgColor rgb="FFFFEB9C"/>
        <bgColor rgb="FFFFF2CC"/>
      </patternFill>
    </fill>
    <fill>
      <patternFill patternType="solid">
        <fgColor theme="2" tint="-0.249977111117893"/>
        <bgColor rgb="FFA6A6A6"/>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BFBFBF"/>
      </bottom>
      <diagonal/>
    </border>
  </borders>
  <cellStyleXfs count="2">
    <xf numFmtId="0" fontId="0" fillId="0" borderId="0"/>
    <xf numFmtId="0" fontId="13" fillId="0" borderId="0"/>
  </cellStyleXfs>
  <cellXfs count="61">
    <xf numFmtId="0" fontId="0" fillId="0" borderId="0" xfId="0"/>
    <xf numFmtId="0" fontId="1" fillId="2" borderId="1" xfId="0" applyFont="1" applyFill="1" applyBorder="1" applyAlignment="1">
      <alignment vertical="top" wrapText="1"/>
    </xf>
    <xf numFmtId="0" fontId="2" fillId="0" borderId="1" xfId="0" applyFont="1" applyBorder="1"/>
    <xf numFmtId="0" fontId="2" fillId="3" borderId="1" xfId="0" applyFont="1" applyFill="1" applyBorder="1" applyAlignment="1">
      <alignment vertical="top" wrapText="1"/>
    </xf>
    <xf numFmtId="0" fontId="2" fillId="0" borderId="1" xfId="0" applyFont="1" applyBorder="1" applyAlignment="1">
      <alignment vertical="center"/>
    </xf>
    <xf numFmtId="0" fontId="2" fillId="3" borderId="1" xfId="0" applyFont="1" applyFill="1" applyBorder="1" applyAlignment="1">
      <alignment vertical="center" wrapText="1"/>
    </xf>
    <xf numFmtId="0" fontId="2" fillId="3" borderId="1" xfId="0" applyFont="1" applyFill="1" applyBorder="1" applyAlignment="1">
      <alignment horizontal="left" vertical="top" wrapText="1"/>
    </xf>
    <xf numFmtId="0" fontId="3" fillId="3" borderId="1" xfId="0" applyFont="1" applyFill="1" applyBorder="1" applyAlignment="1">
      <alignment vertical="top" wrapText="1"/>
    </xf>
    <xf numFmtId="0" fontId="3" fillId="3" borderId="1" xfId="0" applyFont="1" applyFill="1" applyBorder="1" applyAlignment="1">
      <alignment vertical="center" wrapText="1"/>
    </xf>
    <xf numFmtId="0" fontId="2" fillId="4" borderId="1" xfId="0" applyFont="1" applyFill="1" applyBorder="1"/>
    <xf numFmtId="0" fontId="5" fillId="0" borderId="0" xfId="0" applyFont="1"/>
    <xf numFmtId="0" fontId="6" fillId="2" borderId="0" xfId="0" applyFont="1" applyFill="1"/>
    <xf numFmtId="0" fontId="0" fillId="2" borderId="0" xfId="0" applyFill="1"/>
    <xf numFmtId="164" fontId="0" fillId="0" borderId="0" xfId="0" applyNumberFormat="1"/>
    <xf numFmtId="1" fontId="0" fillId="0" borderId="0" xfId="0" applyNumberFormat="1"/>
    <xf numFmtId="0" fontId="7" fillId="0" borderId="0" xfId="0" applyFont="1"/>
    <xf numFmtId="0" fontId="4" fillId="0" borderId="0" xfId="0" applyFont="1"/>
    <xf numFmtId="0" fontId="8" fillId="0" borderId="0" xfId="0" applyFont="1"/>
    <xf numFmtId="0" fontId="0" fillId="0" borderId="0" xfId="0" applyAlignment="1">
      <alignment horizontal="left"/>
    </xf>
    <xf numFmtId="10" fontId="0" fillId="0" borderId="0" xfId="0" applyNumberFormat="1"/>
    <xf numFmtId="0" fontId="1" fillId="2" borderId="1" xfId="0" applyFont="1" applyFill="1" applyBorder="1" applyAlignment="1">
      <alignment vertical="center" wrapText="1"/>
    </xf>
    <xf numFmtId="0" fontId="1" fillId="5" borderId="0" xfId="0" applyFont="1" applyFill="1" applyAlignment="1">
      <alignment vertical="center" wrapText="1"/>
    </xf>
    <xf numFmtId="10" fontId="1" fillId="5" borderId="0" xfId="0" applyNumberFormat="1" applyFont="1" applyFill="1" applyAlignment="1">
      <alignment vertical="center" wrapText="1"/>
    </xf>
    <xf numFmtId="0" fontId="9" fillId="3" borderId="1" xfId="0" applyFont="1" applyFill="1" applyBorder="1"/>
    <xf numFmtId="164" fontId="9" fillId="3" borderId="1" xfId="0" applyNumberFormat="1" applyFont="1" applyFill="1" applyBorder="1"/>
    <xf numFmtId="4" fontId="9" fillId="3" borderId="1" xfId="0" applyNumberFormat="1" applyFont="1" applyFill="1" applyBorder="1"/>
    <xf numFmtId="0" fontId="0" fillId="0" borderId="0" xfId="0" applyAlignment="1">
      <alignment vertical="top" wrapText="1"/>
    </xf>
    <xf numFmtId="10" fontId="9" fillId="3" borderId="1" xfId="0" applyNumberFormat="1" applyFont="1" applyFill="1" applyBorder="1"/>
    <xf numFmtId="10" fontId="10" fillId="6" borderId="1" xfId="0" applyNumberFormat="1" applyFont="1" applyFill="1" applyBorder="1"/>
    <xf numFmtId="10" fontId="11" fillId="7" borderId="1" xfId="0" applyNumberFormat="1" applyFont="1" applyFill="1" applyBorder="1"/>
    <xf numFmtId="4" fontId="9" fillId="4" borderId="1" xfId="0" applyNumberFormat="1" applyFont="1" applyFill="1" applyBorder="1"/>
    <xf numFmtId="4" fontId="0" fillId="0" borderId="0" xfId="0" applyNumberFormat="1"/>
    <xf numFmtId="4" fontId="9" fillId="3" borderId="1" xfId="0" applyNumberFormat="1" applyFont="1" applyFill="1" applyBorder="1" applyAlignment="1">
      <alignment wrapText="1"/>
    </xf>
    <xf numFmtId="10" fontId="9" fillId="4" borderId="1" xfId="0" applyNumberFormat="1" applyFont="1" applyFill="1" applyBorder="1"/>
    <xf numFmtId="164" fontId="9" fillId="4" borderId="1" xfId="0" applyNumberFormat="1" applyFont="1" applyFill="1" applyBorder="1"/>
    <xf numFmtId="0" fontId="9" fillId="4" borderId="1" xfId="0" applyFont="1" applyFill="1" applyBorder="1"/>
    <xf numFmtId="0" fontId="0" fillId="0" borderId="2" xfId="0" applyBorder="1" applyAlignment="1">
      <alignment vertical="top" wrapText="1"/>
    </xf>
    <xf numFmtId="2" fontId="9" fillId="3" borderId="1" xfId="0" applyNumberFormat="1" applyFont="1" applyFill="1" applyBorder="1"/>
    <xf numFmtId="0" fontId="12" fillId="3" borderId="1" xfId="0" applyFont="1" applyFill="1" applyBorder="1"/>
    <xf numFmtId="4" fontId="12" fillId="3" borderId="1" xfId="0" applyNumberFormat="1" applyFont="1" applyFill="1" applyBorder="1"/>
    <xf numFmtId="164" fontId="12" fillId="3" borderId="1" xfId="0" applyNumberFormat="1" applyFont="1" applyFill="1" applyBorder="1"/>
    <xf numFmtId="4" fontId="10" fillId="6" borderId="1" xfId="0" applyNumberFormat="1" applyFont="1" applyFill="1" applyBorder="1"/>
    <xf numFmtId="4" fontId="11" fillId="7" borderId="1" xfId="0" applyNumberFormat="1" applyFont="1" applyFill="1" applyBorder="1"/>
    <xf numFmtId="0" fontId="12" fillId="4" borderId="1" xfId="0" applyFont="1" applyFill="1" applyBorder="1"/>
    <xf numFmtId="4" fontId="9" fillId="4" borderId="1" xfId="0" applyNumberFormat="1" applyFont="1" applyFill="1" applyBorder="1" applyAlignment="1">
      <alignment horizontal="center"/>
    </xf>
    <xf numFmtId="4" fontId="12" fillId="4" borderId="1" xfId="0" applyNumberFormat="1" applyFont="1" applyFill="1" applyBorder="1"/>
    <xf numFmtId="0" fontId="0" fillId="4" borderId="0" xfId="0" applyFill="1"/>
    <xf numFmtId="4" fontId="12" fillId="4" borderId="3" xfId="0" applyNumberFormat="1" applyFont="1" applyFill="1" applyBorder="1" applyAlignment="1">
      <alignment horizontal="center"/>
    </xf>
    <xf numFmtId="4" fontId="9" fillId="4" borderId="4" xfId="0" applyNumberFormat="1" applyFont="1" applyFill="1" applyBorder="1" applyAlignment="1">
      <alignment horizontal="center"/>
    </xf>
    <xf numFmtId="4" fontId="9" fillId="3" borderId="1" xfId="0" applyNumberFormat="1" applyFont="1" applyFill="1" applyBorder="1" applyAlignment="1">
      <alignment horizontal="right"/>
    </xf>
    <xf numFmtId="46" fontId="12" fillId="3" borderId="1" xfId="0" applyNumberFormat="1" applyFont="1" applyFill="1" applyBorder="1"/>
    <xf numFmtId="2" fontId="9" fillId="4" borderId="1" xfId="0" applyNumberFormat="1" applyFont="1" applyFill="1" applyBorder="1"/>
    <xf numFmtId="0" fontId="9" fillId="8" borderId="1" xfId="0" applyFont="1" applyFill="1" applyBorder="1"/>
    <xf numFmtId="0" fontId="12" fillId="8" borderId="1" xfId="0" applyFont="1" applyFill="1" applyBorder="1"/>
    <xf numFmtId="4" fontId="9" fillId="8" borderId="1" xfId="0" applyNumberFormat="1" applyFont="1" applyFill="1" applyBorder="1"/>
    <xf numFmtId="46" fontId="9" fillId="8" borderId="1" xfId="0" applyNumberFormat="1" applyFont="1" applyFill="1" applyBorder="1"/>
    <xf numFmtId="46" fontId="9" fillId="3" borderId="1" xfId="0" applyNumberFormat="1" applyFont="1" applyFill="1" applyBorder="1"/>
    <xf numFmtId="0" fontId="1" fillId="2" borderId="0" xfId="0" applyFont="1" applyFill="1"/>
    <xf numFmtId="0" fontId="2" fillId="3" borderId="1" xfId="0" applyFont="1" applyFill="1" applyBorder="1" applyAlignment="1">
      <alignment horizontal="center" vertical="center" wrapText="1"/>
    </xf>
    <xf numFmtId="0" fontId="4" fillId="0" borderId="0" xfId="0" applyFont="1" applyAlignment="1">
      <alignment vertical="top" wrapText="1"/>
    </xf>
    <xf numFmtId="0" fontId="14" fillId="0" borderId="0" xfId="0" applyFont="1" applyAlignment="1">
      <alignment vertical="top" wrapText="1"/>
    </xf>
  </cellXfs>
  <cellStyles count="2">
    <cellStyle name="Normal" xfId="0" builtinId="0"/>
    <cellStyle name="Normal 2" xfId="1" xr:uid="{00000000-0005-0000-0000-000006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BFBFBF"/>
      <rgbColor rgb="FF808080"/>
      <rgbColor rgb="FFAFABAB"/>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C99"/>
      <rgbColor rgb="FF3366FF"/>
      <rgbColor rgb="FF33CCCC"/>
      <rgbColor rgb="FF99CC00"/>
      <rgbColor rgb="FFFFCC00"/>
      <rgbColor rgb="FFFF9900"/>
      <rgbColor rgb="FFFF6600"/>
      <rgbColor rgb="FF666699"/>
      <rgbColor rgb="FFA6A6A6"/>
      <rgbColor rgb="FF1F3864"/>
      <rgbColor rgb="FF339966"/>
      <rgbColor rgb="FF003300"/>
      <rgbColor rgb="FF333300"/>
      <rgbColor rgb="FF9C5700"/>
      <rgbColor rgb="FF993366"/>
      <rgbColor rgb="FF333399"/>
      <rgbColor rgb="FF37562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5"/>
  <sheetViews>
    <sheetView zoomScale="130" zoomScaleNormal="130" workbookViewId="0">
      <pane ySplit="1" topLeftCell="A2" activePane="bottomLeft" state="frozen"/>
      <selection pane="bottomLeft" activeCell="A33" sqref="A33:G35"/>
    </sheetView>
  </sheetViews>
  <sheetFormatPr defaultColWidth="8.6328125" defaultRowHeight="14.5" x14ac:dyDescent="0.35"/>
  <cols>
    <col min="1" max="1" width="10" customWidth="1"/>
    <col min="2" max="2" width="34" customWidth="1"/>
    <col min="3" max="3" width="10.7265625" customWidth="1"/>
    <col min="4" max="4" width="22" customWidth="1"/>
    <col min="5" max="5" width="34.08984375" customWidth="1"/>
    <col min="6" max="6" width="44.6328125" customWidth="1"/>
    <col min="7" max="7" width="115.81640625" customWidth="1"/>
  </cols>
  <sheetData>
    <row r="1" spans="1:7" ht="25.5" customHeight="1" x14ac:dyDescent="0.35">
      <c r="A1" s="1" t="s">
        <v>0</v>
      </c>
      <c r="B1" s="1" t="s">
        <v>1</v>
      </c>
      <c r="C1" s="1" t="s">
        <v>2</v>
      </c>
      <c r="D1" s="1" t="s">
        <v>3</v>
      </c>
      <c r="E1" s="1" t="s">
        <v>4</v>
      </c>
      <c r="F1" s="1" t="s">
        <v>5</v>
      </c>
      <c r="G1" s="1" t="s">
        <v>6</v>
      </c>
    </row>
    <row r="2" spans="1:7" ht="15" customHeight="1" x14ac:dyDescent="0.35">
      <c r="A2" s="2" t="s">
        <v>7</v>
      </c>
      <c r="B2" s="2" t="s">
        <v>8</v>
      </c>
      <c r="C2" s="2">
        <v>0</v>
      </c>
      <c r="D2" s="3" t="s">
        <v>9</v>
      </c>
      <c r="E2" s="3" t="s">
        <v>10</v>
      </c>
      <c r="F2" s="3" t="s">
        <v>11</v>
      </c>
      <c r="G2" s="3"/>
    </row>
    <row r="3" spans="1:7" ht="15" customHeight="1" x14ac:dyDescent="0.35">
      <c r="A3" s="2" t="s">
        <v>12</v>
      </c>
      <c r="B3" s="2" t="s">
        <v>13</v>
      </c>
      <c r="C3" s="2">
        <v>1</v>
      </c>
      <c r="D3" s="3" t="s">
        <v>14</v>
      </c>
      <c r="E3" s="3" t="s">
        <v>15</v>
      </c>
      <c r="F3" s="3" t="s">
        <v>16</v>
      </c>
      <c r="G3" s="3" t="s">
        <v>17</v>
      </c>
    </row>
    <row r="4" spans="1:7" ht="15" customHeight="1" x14ac:dyDescent="0.35">
      <c r="A4" s="2" t="s">
        <v>18</v>
      </c>
      <c r="B4" s="2" t="s">
        <v>19</v>
      </c>
      <c r="C4" s="2">
        <v>0</v>
      </c>
      <c r="D4" s="3" t="s">
        <v>20</v>
      </c>
      <c r="E4" s="3" t="s">
        <v>10</v>
      </c>
      <c r="F4" s="3" t="s">
        <v>21</v>
      </c>
      <c r="G4" s="3"/>
    </row>
    <row r="5" spans="1:7" ht="15" customHeight="1" x14ac:dyDescent="0.35">
      <c r="A5" s="2" t="s">
        <v>22</v>
      </c>
      <c r="B5" s="2" t="s">
        <v>23</v>
      </c>
      <c r="C5" s="2">
        <v>0</v>
      </c>
      <c r="D5" s="3" t="s">
        <v>24</v>
      </c>
      <c r="E5" s="3" t="s">
        <v>25</v>
      </c>
      <c r="F5" s="3" t="s">
        <v>26</v>
      </c>
      <c r="G5" s="3"/>
    </row>
    <row r="6" spans="1:7" ht="15" customHeight="1" x14ac:dyDescent="0.35">
      <c r="A6" s="2" t="s">
        <v>27</v>
      </c>
      <c r="B6" s="2" t="s">
        <v>28</v>
      </c>
      <c r="C6" s="2">
        <v>0</v>
      </c>
      <c r="D6" s="3" t="s">
        <v>9</v>
      </c>
      <c r="E6" s="3" t="s">
        <v>29</v>
      </c>
      <c r="F6" s="3" t="s">
        <v>30</v>
      </c>
      <c r="G6" s="3" t="s">
        <v>31</v>
      </c>
    </row>
    <row r="7" spans="1:7" ht="37.5" customHeight="1" x14ac:dyDescent="0.35">
      <c r="A7" s="4" t="s">
        <v>32</v>
      </c>
      <c r="B7" s="4" t="s">
        <v>33</v>
      </c>
      <c r="C7" s="4">
        <v>0</v>
      </c>
      <c r="D7" s="5" t="s">
        <v>34</v>
      </c>
      <c r="E7" s="5" t="s">
        <v>35</v>
      </c>
      <c r="F7" s="5" t="s">
        <v>36</v>
      </c>
      <c r="G7" s="6" t="s">
        <v>37</v>
      </c>
    </row>
    <row r="8" spans="1:7" ht="15" customHeight="1" x14ac:dyDescent="0.35">
      <c r="A8" s="2" t="s">
        <v>38</v>
      </c>
      <c r="B8" s="2" t="s">
        <v>39</v>
      </c>
      <c r="C8" s="2">
        <v>0</v>
      </c>
      <c r="D8" s="3" t="s">
        <v>34</v>
      </c>
      <c r="E8" s="3" t="s">
        <v>15</v>
      </c>
      <c r="F8" s="5" t="s">
        <v>36</v>
      </c>
      <c r="G8" s="3"/>
    </row>
    <row r="9" spans="1:7" ht="15" customHeight="1" x14ac:dyDescent="0.35">
      <c r="A9" s="2" t="s">
        <v>40</v>
      </c>
      <c r="B9" s="2" t="s">
        <v>41</v>
      </c>
      <c r="C9" s="2">
        <v>0</v>
      </c>
      <c r="D9" s="3" t="s">
        <v>20</v>
      </c>
      <c r="E9" s="3" t="s">
        <v>35</v>
      </c>
      <c r="F9" s="3" t="s">
        <v>26</v>
      </c>
      <c r="G9" s="3" t="s">
        <v>42</v>
      </c>
    </row>
    <row r="10" spans="1:7" ht="15" customHeight="1" x14ac:dyDescent="0.35">
      <c r="A10" s="2" t="s">
        <v>43</v>
      </c>
      <c r="B10" s="2" t="s">
        <v>44</v>
      </c>
      <c r="C10" s="2">
        <v>0</v>
      </c>
      <c r="D10" s="3" t="s">
        <v>34</v>
      </c>
      <c r="E10" s="3" t="s">
        <v>15</v>
      </c>
      <c r="F10" s="7" t="s">
        <v>45</v>
      </c>
      <c r="G10" s="7" t="s">
        <v>46</v>
      </c>
    </row>
    <row r="11" spans="1:7" ht="14.25" customHeight="1" x14ac:dyDescent="0.35">
      <c r="A11" s="4" t="s">
        <v>47</v>
      </c>
      <c r="B11" s="4" t="s">
        <v>48</v>
      </c>
      <c r="C11" s="4">
        <v>1</v>
      </c>
      <c r="D11" s="5" t="s">
        <v>49</v>
      </c>
      <c r="E11" s="8" t="s">
        <v>50</v>
      </c>
      <c r="F11" s="8" t="s">
        <v>51</v>
      </c>
      <c r="G11" s="7" t="s">
        <v>52</v>
      </c>
    </row>
    <row r="12" spans="1:7" ht="15" customHeight="1" x14ac:dyDescent="0.35">
      <c r="A12" s="2" t="s">
        <v>53</v>
      </c>
      <c r="B12" s="2" t="s">
        <v>54</v>
      </c>
      <c r="C12" s="2">
        <v>1</v>
      </c>
      <c r="D12" s="3" t="s">
        <v>55</v>
      </c>
      <c r="E12" s="7" t="s">
        <v>56</v>
      </c>
      <c r="F12" s="7" t="s">
        <v>26</v>
      </c>
      <c r="G12" s="3"/>
    </row>
    <row r="13" spans="1:7" ht="15" customHeight="1" x14ac:dyDescent="0.35">
      <c r="A13" s="2" t="s">
        <v>57</v>
      </c>
      <c r="B13" s="2" t="s">
        <v>58</v>
      </c>
      <c r="C13" s="2">
        <v>0</v>
      </c>
      <c r="D13" s="3" t="s">
        <v>59</v>
      </c>
      <c r="E13" s="3" t="s">
        <v>35</v>
      </c>
      <c r="F13" s="7" t="s">
        <v>60</v>
      </c>
      <c r="G13" s="3" t="s">
        <v>61</v>
      </c>
    </row>
    <row r="14" spans="1:7" ht="15" customHeight="1" x14ac:dyDescent="0.35">
      <c r="A14" s="2" t="s">
        <v>62</v>
      </c>
      <c r="B14" s="2" t="s">
        <v>63</v>
      </c>
      <c r="C14" s="2">
        <v>0</v>
      </c>
      <c r="D14" s="3" t="s">
        <v>64</v>
      </c>
      <c r="E14" s="3" t="s">
        <v>15</v>
      </c>
      <c r="F14" s="3" t="s">
        <v>65</v>
      </c>
      <c r="G14" s="3"/>
    </row>
    <row r="15" spans="1:7" ht="24.75" customHeight="1" x14ac:dyDescent="0.35">
      <c r="A15" s="4" t="s">
        <v>66</v>
      </c>
      <c r="B15" s="4" t="s">
        <v>67</v>
      </c>
      <c r="C15" s="4">
        <v>0</v>
      </c>
      <c r="D15" s="5" t="s">
        <v>68</v>
      </c>
      <c r="E15" s="5" t="s">
        <v>35</v>
      </c>
      <c r="F15" s="8" t="s">
        <v>69</v>
      </c>
      <c r="G15" s="3" t="s">
        <v>70</v>
      </c>
    </row>
    <row r="16" spans="1:7" ht="15" customHeight="1" x14ac:dyDescent="0.35">
      <c r="A16" s="2" t="s">
        <v>71</v>
      </c>
      <c r="B16" s="2" t="s">
        <v>72</v>
      </c>
      <c r="C16" s="2">
        <v>0</v>
      </c>
      <c r="D16" s="3" t="s">
        <v>24</v>
      </c>
      <c r="E16" s="3" t="s">
        <v>15</v>
      </c>
      <c r="F16" s="3" t="s">
        <v>73</v>
      </c>
      <c r="G16" s="3" t="s">
        <v>74</v>
      </c>
    </row>
    <row r="17" spans="1:7" ht="15" customHeight="1" x14ac:dyDescent="0.35">
      <c r="A17" s="2" t="s">
        <v>75</v>
      </c>
      <c r="B17" s="2" t="s">
        <v>76</v>
      </c>
      <c r="C17" s="2">
        <v>0</v>
      </c>
      <c r="D17" s="3" t="s">
        <v>24</v>
      </c>
      <c r="E17" s="3" t="s">
        <v>25</v>
      </c>
      <c r="F17" s="3" t="s">
        <v>16</v>
      </c>
      <c r="G17" s="3"/>
    </row>
    <row r="18" spans="1:7" ht="15" customHeight="1" x14ac:dyDescent="0.35">
      <c r="A18" s="2" t="s">
        <v>77</v>
      </c>
      <c r="B18" s="2" t="s">
        <v>78</v>
      </c>
      <c r="C18" s="2">
        <v>0</v>
      </c>
      <c r="D18" s="3" t="s">
        <v>79</v>
      </c>
      <c r="E18" s="3" t="s">
        <v>15</v>
      </c>
      <c r="F18" s="3" t="s">
        <v>80</v>
      </c>
      <c r="G18" s="3"/>
    </row>
    <row r="19" spans="1:7" ht="15" customHeight="1" x14ac:dyDescent="0.35">
      <c r="A19" s="2" t="s">
        <v>81</v>
      </c>
      <c r="B19" s="2" t="s">
        <v>82</v>
      </c>
      <c r="C19" s="2">
        <v>0</v>
      </c>
      <c r="D19" s="3" t="s">
        <v>9</v>
      </c>
      <c r="E19" s="3" t="s">
        <v>83</v>
      </c>
      <c r="F19" s="5" t="s">
        <v>84</v>
      </c>
      <c r="G19" s="3"/>
    </row>
    <row r="20" spans="1:7" ht="14.25" customHeight="1" x14ac:dyDescent="0.35">
      <c r="A20" s="2" t="s">
        <v>85</v>
      </c>
      <c r="B20" s="2" t="s">
        <v>86</v>
      </c>
      <c r="C20" s="2">
        <v>0</v>
      </c>
      <c r="D20" s="3" t="s">
        <v>87</v>
      </c>
      <c r="E20" s="3" t="s">
        <v>10</v>
      </c>
      <c r="F20" s="3" t="s">
        <v>88</v>
      </c>
      <c r="G20" s="3"/>
    </row>
    <row r="21" spans="1:7" ht="15" customHeight="1" x14ac:dyDescent="0.35">
      <c r="A21" s="9"/>
      <c r="B21" s="2" t="s">
        <v>89</v>
      </c>
      <c r="C21" s="9"/>
      <c r="D21" s="3" t="s">
        <v>20</v>
      </c>
      <c r="E21" s="58" t="s">
        <v>90</v>
      </c>
      <c r="F21" s="58"/>
      <c r="G21" s="58"/>
    </row>
    <row r="22" spans="1:7" ht="15" customHeight="1" x14ac:dyDescent="0.35">
      <c r="A22" s="2" t="s">
        <v>91</v>
      </c>
      <c r="B22" s="2" t="s">
        <v>92</v>
      </c>
      <c r="C22" s="2">
        <v>0</v>
      </c>
      <c r="D22" s="3" t="s">
        <v>59</v>
      </c>
      <c r="E22" s="3"/>
      <c r="F22" s="3" t="s">
        <v>93</v>
      </c>
      <c r="G22" s="3"/>
    </row>
    <row r="23" spans="1:7" ht="15" customHeight="1" x14ac:dyDescent="0.35">
      <c r="A23" s="2" t="s">
        <v>94</v>
      </c>
      <c r="B23" s="2" t="s">
        <v>95</v>
      </c>
      <c r="C23" s="2">
        <v>0</v>
      </c>
      <c r="D23" s="3" t="s">
        <v>24</v>
      </c>
      <c r="E23" s="3" t="s">
        <v>25</v>
      </c>
      <c r="F23" s="3" t="s">
        <v>96</v>
      </c>
      <c r="G23" s="3"/>
    </row>
    <row r="24" spans="1:7" ht="15" customHeight="1" x14ac:dyDescent="0.35">
      <c r="A24" s="2" t="s">
        <v>97</v>
      </c>
      <c r="B24" s="2" t="s">
        <v>98</v>
      </c>
      <c r="C24" s="2">
        <v>0</v>
      </c>
      <c r="D24" s="3" t="s">
        <v>99</v>
      </c>
      <c r="E24" s="3" t="s">
        <v>100</v>
      </c>
      <c r="F24" s="3" t="s">
        <v>101</v>
      </c>
      <c r="G24" s="3"/>
    </row>
    <row r="25" spans="1:7" ht="23.25" customHeight="1" x14ac:dyDescent="0.35">
      <c r="A25" s="2" t="s">
        <v>102</v>
      </c>
      <c r="B25" s="2" t="s">
        <v>103</v>
      </c>
      <c r="C25" s="2">
        <v>1</v>
      </c>
      <c r="D25" s="3" t="s">
        <v>14</v>
      </c>
      <c r="E25" s="3" t="s">
        <v>35</v>
      </c>
      <c r="F25" s="3" t="s">
        <v>104</v>
      </c>
      <c r="G25" s="3" t="s">
        <v>105</v>
      </c>
    </row>
    <row r="26" spans="1:7" ht="15" customHeight="1" x14ac:dyDescent="0.35">
      <c r="A26" s="2" t="s">
        <v>106</v>
      </c>
      <c r="B26" s="2" t="s">
        <v>107</v>
      </c>
      <c r="C26" s="2">
        <v>0</v>
      </c>
      <c r="D26" s="3" t="s">
        <v>68</v>
      </c>
      <c r="E26" s="3" t="s">
        <v>35</v>
      </c>
      <c r="F26" s="3" t="s">
        <v>108</v>
      </c>
      <c r="G26" s="3" t="s">
        <v>105</v>
      </c>
    </row>
    <row r="27" spans="1:7" ht="15" customHeight="1" x14ac:dyDescent="0.35">
      <c r="A27" s="2" t="s">
        <v>109</v>
      </c>
      <c r="B27" s="2" t="s">
        <v>110</v>
      </c>
      <c r="C27" s="2">
        <v>0</v>
      </c>
      <c r="D27" s="3" t="s">
        <v>87</v>
      </c>
      <c r="E27" s="3" t="s">
        <v>111</v>
      </c>
      <c r="F27" s="3" t="s">
        <v>112</v>
      </c>
      <c r="G27" s="3" t="s">
        <v>113</v>
      </c>
    </row>
    <row r="28" spans="1:7" ht="37.5" customHeight="1" x14ac:dyDescent="0.35">
      <c r="A28" s="4" t="s">
        <v>114</v>
      </c>
      <c r="B28" s="4" t="s">
        <v>115</v>
      </c>
      <c r="C28" s="4">
        <v>0</v>
      </c>
      <c r="D28" s="5" t="s">
        <v>99</v>
      </c>
      <c r="E28" s="8" t="s">
        <v>25</v>
      </c>
      <c r="F28" s="5" t="s">
        <v>116</v>
      </c>
      <c r="G28" s="3" t="s">
        <v>117</v>
      </c>
    </row>
    <row r="29" spans="1:7" ht="15" customHeight="1" x14ac:dyDescent="0.35">
      <c r="A29" s="2" t="s">
        <v>118</v>
      </c>
      <c r="B29" s="2" t="s">
        <v>119</v>
      </c>
      <c r="C29" s="2">
        <v>0</v>
      </c>
      <c r="D29" s="3" t="s">
        <v>34</v>
      </c>
      <c r="E29" s="3" t="s">
        <v>25</v>
      </c>
      <c r="F29" s="3" t="s">
        <v>120</v>
      </c>
      <c r="G29" s="3"/>
    </row>
    <row r="30" spans="1:7" ht="24.75" customHeight="1" x14ac:dyDescent="0.35">
      <c r="A30" s="4" t="s">
        <v>121</v>
      </c>
      <c r="B30" s="4" t="s">
        <v>122</v>
      </c>
      <c r="C30" s="4">
        <v>0</v>
      </c>
      <c r="D30" s="5" t="s">
        <v>123</v>
      </c>
      <c r="E30" s="5" t="s">
        <v>124</v>
      </c>
      <c r="F30" s="5" t="s">
        <v>108</v>
      </c>
      <c r="G30" s="5" t="s">
        <v>125</v>
      </c>
    </row>
    <row r="31" spans="1:7" ht="14.25" customHeight="1" x14ac:dyDescent="0.35">
      <c r="A31" s="9"/>
      <c r="B31" s="4" t="s">
        <v>126</v>
      </c>
      <c r="C31" s="9"/>
      <c r="D31" s="3" t="s">
        <v>87</v>
      </c>
      <c r="E31" s="58" t="s">
        <v>90</v>
      </c>
      <c r="F31" s="58"/>
      <c r="G31" s="58"/>
    </row>
    <row r="33" spans="1:7" ht="15" customHeight="1" x14ac:dyDescent="0.35">
      <c r="A33" s="59" t="s">
        <v>127</v>
      </c>
      <c r="B33" s="59"/>
      <c r="C33" s="59"/>
      <c r="D33" s="59"/>
      <c r="E33" s="59"/>
      <c r="F33" s="59"/>
      <c r="G33" s="59"/>
    </row>
    <row r="34" spans="1:7" ht="15" customHeight="1" x14ac:dyDescent="0.35">
      <c r="A34" s="59"/>
      <c r="B34" s="59"/>
      <c r="C34" s="59"/>
      <c r="D34" s="59"/>
      <c r="E34" s="59"/>
      <c r="F34" s="59"/>
      <c r="G34" s="59"/>
    </row>
    <row r="35" spans="1:7" ht="14.25" customHeight="1" x14ac:dyDescent="0.35">
      <c r="A35" s="59"/>
      <c r="B35" s="59"/>
      <c r="C35" s="59"/>
      <c r="D35" s="59"/>
      <c r="E35" s="59"/>
      <c r="F35" s="59"/>
      <c r="G35" s="59"/>
    </row>
  </sheetData>
  <mergeCells count="3">
    <mergeCell ref="E21:G21"/>
    <mergeCell ref="E31:G31"/>
    <mergeCell ref="A33:G35"/>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Z283"/>
  <sheetViews>
    <sheetView tabSelected="1" zoomScale="70" zoomScaleNormal="70" workbookViewId="0">
      <pane ySplit="1" topLeftCell="A2" activePane="bottomLeft" state="frozen"/>
      <selection pane="bottomLeft" activeCell="D292" sqref="D292"/>
    </sheetView>
  </sheetViews>
  <sheetFormatPr defaultColWidth="34" defaultRowHeight="14.5" x14ac:dyDescent="0.35"/>
  <cols>
    <col min="1" max="1" width="10" customWidth="1"/>
    <col min="2" max="2" width="9" customWidth="1"/>
    <col min="3" max="3" width="26" customWidth="1"/>
    <col min="4" max="4" width="12" customWidth="1"/>
    <col min="5" max="5" width="20.08984375" customWidth="1"/>
    <col min="6" max="6" width="20" customWidth="1"/>
    <col min="7" max="7" width="16" customWidth="1"/>
    <col min="8" max="8" width="24.36328125" customWidth="1"/>
    <col min="9" max="9" width="13" customWidth="1"/>
    <col min="10" max="10" width="13.81640625" customWidth="1"/>
    <col min="11" max="11" width="18.26953125" customWidth="1"/>
    <col min="12" max="13" width="14" customWidth="1"/>
    <col min="14" max="14" width="55.453125" bestFit="1" customWidth="1"/>
    <col min="15" max="15" width="13.26953125" customWidth="1"/>
    <col min="16" max="16" width="21.08984375" customWidth="1"/>
    <col min="17" max="17" width="116.08984375" style="18" customWidth="1"/>
    <col min="18" max="19" width="15.36328125" customWidth="1"/>
    <col min="20" max="20" width="15.36328125" style="19" customWidth="1"/>
    <col min="21" max="21" width="22.26953125" customWidth="1"/>
    <col min="22" max="22" width="25" customWidth="1"/>
  </cols>
  <sheetData>
    <row r="1" spans="1:26" ht="39.75" customHeight="1" x14ac:dyDescent="0.35">
      <c r="A1" s="20" t="s">
        <v>0</v>
      </c>
      <c r="B1" s="20" t="s">
        <v>175</v>
      </c>
      <c r="C1" s="20" t="s">
        <v>176</v>
      </c>
      <c r="D1" s="20" t="s">
        <v>177</v>
      </c>
      <c r="E1" s="20" t="s">
        <v>178</v>
      </c>
      <c r="F1" s="20" t="s">
        <v>179</v>
      </c>
      <c r="G1" s="20" t="s">
        <v>180</v>
      </c>
      <c r="H1" s="20" t="s">
        <v>181</v>
      </c>
      <c r="I1" s="20" t="s">
        <v>182</v>
      </c>
      <c r="J1" s="20" t="s">
        <v>183</v>
      </c>
      <c r="K1" s="20" t="s">
        <v>184</v>
      </c>
      <c r="L1" s="20" t="s">
        <v>185</v>
      </c>
      <c r="M1" s="20" t="s">
        <v>186</v>
      </c>
      <c r="N1" s="20" t="s">
        <v>187</v>
      </c>
      <c r="O1" s="20" t="s">
        <v>188</v>
      </c>
      <c r="P1" s="20" t="s">
        <v>189</v>
      </c>
      <c r="Q1" s="20" t="s">
        <v>6</v>
      </c>
      <c r="R1" s="21" t="s">
        <v>190</v>
      </c>
      <c r="S1" s="21" t="s">
        <v>191</v>
      </c>
      <c r="T1" s="22" t="s">
        <v>192</v>
      </c>
      <c r="U1" s="21" t="s">
        <v>193</v>
      </c>
      <c r="V1" s="21" t="s">
        <v>194</v>
      </c>
      <c r="W1" s="21" t="s">
        <v>195</v>
      </c>
      <c r="X1" s="21" t="s">
        <v>196</v>
      </c>
      <c r="Y1" s="21" t="s">
        <v>197</v>
      </c>
      <c r="Z1" s="21" t="s">
        <v>160</v>
      </c>
    </row>
    <row r="2" spans="1:26" ht="15" customHeight="1" x14ac:dyDescent="0.35">
      <c r="A2" s="23" t="s">
        <v>7</v>
      </c>
      <c r="B2" s="23">
        <v>2020</v>
      </c>
      <c r="C2" s="23" t="s">
        <v>15</v>
      </c>
      <c r="D2" s="23" t="s">
        <v>198</v>
      </c>
      <c r="E2" s="23">
        <v>129</v>
      </c>
      <c r="F2" s="23" t="s">
        <v>137</v>
      </c>
      <c r="G2" s="23" t="s">
        <v>199</v>
      </c>
      <c r="H2" s="23" t="s">
        <v>200</v>
      </c>
      <c r="I2" s="24">
        <v>0.06</v>
      </c>
      <c r="J2" s="24">
        <v>0.08</v>
      </c>
      <c r="K2" s="24">
        <v>0.06</v>
      </c>
      <c r="L2" s="24">
        <v>-0.14000000000000001</v>
      </c>
      <c r="M2" s="24" t="s">
        <v>201</v>
      </c>
      <c r="N2" s="25" t="s">
        <v>201</v>
      </c>
      <c r="O2" s="23" t="s">
        <v>202</v>
      </c>
      <c r="P2" s="23">
        <v>200</v>
      </c>
      <c r="Q2" s="26"/>
      <c r="R2" s="13">
        <f t="shared" ref="R2:R65" si="0">IF(NOT(ISNUMBER(I2)),"",IF(F2="Mindestprognose",I2,IF(ISNUMBER(J2),(I2+J2)/2,I2)))</f>
        <v>7.0000000000000007E-2</v>
      </c>
      <c r="S2" s="13">
        <f t="shared" ref="S2:S65" si="1">IF(OR(R2="",NOT(ISNUMBER(L2))),"",R2-L2)</f>
        <v>0.21000000000000002</v>
      </c>
      <c r="T2" s="13" t="str">
        <f t="shared" ref="T2:T65" si="2">IF(OR(S2="",G2&lt;&gt;"absolut",NOT(ISNUMBER(L2)),L2=0),"",S2/ABS(L2))</f>
        <v/>
      </c>
      <c r="U2" s="13" t="str">
        <f t="shared" ref="U2:U65" si="3">IF(T2="","",ABS(T2))</f>
        <v/>
      </c>
      <c r="V2" s="14">
        <f t="shared" ref="V2:V65" si="4">IF(OR(F2="Punkt",NOT(ISNUMBER(L2))),"",IF(F2="Mindestprognose",IF(L2&gt;=I2,1,0),IF(AND(ISNUMBER(I2),ISNUMBER(J2),I2&lt;&gt;J2),IF(AND(L2&gt;=I2,L2&lt;=J2),1,0),"")))</f>
        <v>0</v>
      </c>
      <c r="W2" s="26"/>
      <c r="X2" t="str">
        <f t="shared" ref="X2:X65" si="5">IF(OR(F2="qualitativ",F2="fehlend",NOT(ISNUMBER(L2))),"nicht auswertbar",IF(F2="Punkt","Punktprognose",IF(AND(ISNUMBER(I2),ISNUMBER(J2)),IF(L2&lt;I2,"unterhalb",IF(L2&gt;J2,"oberhalb","innerhalb")),"nicht auswertbar")))</f>
        <v>unterhalb</v>
      </c>
      <c r="Y2" s="13">
        <f t="shared" ref="Y2:Y65" si="6">IF(AND(ISNUMBER(S2),OR(G2="Marge %",G2="Wachstumsrate %")),ABS(S2),"")</f>
        <v>0.21000000000000002</v>
      </c>
      <c r="Z2" t="str">
        <f>IFERROR(VLOOKUP(A2,Unternehmen!$A:$D,4,FALSE()),"")</f>
        <v>Konsumgueter</v>
      </c>
    </row>
    <row r="3" spans="1:26" ht="15" customHeight="1" x14ac:dyDescent="0.35">
      <c r="A3" s="23" t="s">
        <v>7</v>
      </c>
      <c r="B3" s="23">
        <v>2020</v>
      </c>
      <c r="C3" s="23" t="s">
        <v>155</v>
      </c>
      <c r="D3" s="23" t="s">
        <v>198</v>
      </c>
      <c r="E3" s="23">
        <v>130</v>
      </c>
      <c r="F3" s="23" t="s">
        <v>137</v>
      </c>
      <c r="G3" s="23" t="s">
        <v>203</v>
      </c>
      <c r="H3" s="23" t="s">
        <v>204</v>
      </c>
      <c r="I3" s="24">
        <v>0.115</v>
      </c>
      <c r="J3" s="24">
        <v>0.11799999999999999</v>
      </c>
      <c r="K3" s="24">
        <v>0.113</v>
      </c>
      <c r="L3" s="24">
        <v>3.7999999999999999E-2</v>
      </c>
      <c r="M3" s="24" t="s">
        <v>205</v>
      </c>
      <c r="N3" s="27" t="s">
        <v>206</v>
      </c>
      <c r="O3" s="23" t="s">
        <v>202</v>
      </c>
      <c r="P3" s="23">
        <v>200</v>
      </c>
      <c r="Q3" s="26"/>
      <c r="R3" s="13">
        <f t="shared" si="0"/>
        <v>0.11649999999999999</v>
      </c>
      <c r="S3" s="13">
        <f t="shared" si="1"/>
        <v>7.8499999999999986E-2</v>
      </c>
      <c r="T3" s="13" t="str">
        <f t="shared" si="2"/>
        <v/>
      </c>
      <c r="U3" s="13" t="str">
        <f t="shared" si="3"/>
        <v/>
      </c>
      <c r="V3" s="14">
        <f t="shared" si="4"/>
        <v>0</v>
      </c>
      <c r="W3" s="26"/>
      <c r="X3" t="str">
        <f t="shared" si="5"/>
        <v>unterhalb</v>
      </c>
      <c r="Y3" s="13">
        <f t="shared" si="6"/>
        <v>7.8499999999999986E-2</v>
      </c>
      <c r="Z3" t="str">
        <f>IFERROR(VLOOKUP(A3,Unternehmen!$A:$D,4,FALSE()),"")</f>
        <v>Konsumgueter</v>
      </c>
    </row>
    <row r="4" spans="1:26" ht="15" customHeight="1" x14ac:dyDescent="0.35">
      <c r="A4" s="23" t="s">
        <v>7</v>
      </c>
      <c r="B4" s="23">
        <v>2021</v>
      </c>
      <c r="C4" s="23" t="s">
        <v>15</v>
      </c>
      <c r="D4" s="23" t="s">
        <v>202</v>
      </c>
      <c r="E4" s="23">
        <v>178</v>
      </c>
      <c r="F4" s="23" t="s">
        <v>137</v>
      </c>
      <c r="G4" s="23" t="s">
        <v>199</v>
      </c>
      <c r="H4" s="23" t="s">
        <v>200</v>
      </c>
      <c r="I4" s="24">
        <v>0.15</v>
      </c>
      <c r="J4" s="24">
        <v>0.19</v>
      </c>
      <c r="K4" s="24">
        <v>-0.14000000000000001</v>
      </c>
      <c r="L4" s="24">
        <v>0.16</v>
      </c>
      <c r="M4" s="24" t="s">
        <v>207</v>
      </c>
      <c r="N4" s="28" t="s">
        <v>208</v>
      </c>
      <c r="O4" s="23" t="s">
        <v>209</v>
      </c>
      <c r="P4" s="23">
        <v>3</v>
      </c>
      <c r="Q4" s="26"/>
      <c r="R4" s="13">
        <f t="shared" si="0"/>
        <v>0.16999999999999998</v>
      </c>
      <c r="S4" s="13">
        <f t="shared" si="1"/>
        <v>9.9999999999999811E-3</v>
      </c>
      <c r="T4" s="13" t="str">
        <f t="shared" si="2"/>
        <v/>
      </c>
      <c r="U4" s="13" t="str">
        <f t="shared" si="3"/>
        <v/>
      </c>
      <c r="V4" s="14">
        <f t="shared" si="4"/>
        <v>1</v>
      </c>
      <c r="W4" s="26"/>
      <c r="X4" t="str">
        <f t="shared" si="5"/>
        <v>innerhalb</v>
      </c>
      <c r="Y4" s="13">
        <f t="shared" si="6"/>
        <v>9.9999999999999811E-3</v>
      </c>
      <c r="Z4" t="str">
        <f>IFERROR(VLOOKUP(A4,Unternehmen!$A:$D,4,FALSE()),"")</f>
        <v>Konsumgueter</v>
      </c>
    </row>
    <row r="5" spans="1:26" ht="15" customHeight="1" x14ac:dyDescent="0.35">
      <c r="A5" s="23" t="s">
        <v>7</v>
      </c>
      <c r="B5" s="23">
        <v>2021</v>
      </c>
      <c r="C5" s="23" t="s">
        <v>155</v>
      </c>
      <c r="D5" s="23" t="s">
        <v>202</v>
      </c>
      <c r="E5" s="23">
        <v>179</v>
      </c>
      <c r="F5" s="23" t="s">
        <v>137</v>
      </c>
      <c r="G5" s="23" t="s">
        <v>203</v>
      </c>
      <c r="H5" s="23" t="s">
        <v>204</v>
      </c>
      <c r="I5" s="24">
        <v>0.09</v>
      </c>
      <c r="J5" s="24">
        <v>0.1</v>
      </c>
      <c r="K5" s="24">
        <v>0.04</v>
      </c>
      <c r="L5" s="24">
        <v>9.4E-2</v>
      </c>
      <c r="M5" s="24" t="s">
        <v>210</v>
      </c>
      <c r="N5" s="28" t="s">
        <v>208</v>
      </c>
      <c r="O5" s="23" t="s">
        <v>209</v>
      </c>
      <c r="P5" s="23">
        <v>3</v>
      </c>
      <c r="Q5" s="26"/>
      <c r="R5" s="13">
        <f t="shared" si="0"/>
        <v>9.5000000000000001E-2</v>
      </c>
      <c r="S5" s="13">
        <f t="shared" si="1"/>
        <v>1.0000000000000009E-3</v>
      </c>
      <c r="T5" s="13" t="str">
        <f t="shared" si="2"/>
        <v/>
      </c>
      <c r="U5" s="13" t="str">
        <f t="shared" si="3"/>
        <v/>
      </c>
      <c r="V5" s="14">
        <f t="shared" si="4"/>
        <v>1</v>
      </c>
      <c r="W5" s="26"/>
      <c r="X5" t="str">
        <f t="shared" si="5"/>
        <v>innerhalb</v>
      </c>
      <c r="Y5" s="13">
        <f t="shared" si="6"/>
        <v>1.0000000000000009E-3</v>
      </c>
      <c r="Z5" t="str">
        <f>IFERROR(VLOOKUP(A5,Unternehmen!$A:$D,4,FALSE()),"")</f>
        <v>Konsumgueter</v>
      </c>
    </row>
    <row r="6" spans="1:26" ht="15" customHeight="1" x14ac:dyDescent="0.35">
      <c r="A6" s="23" t="s">
        <v>7</v>
      </c>
      <c r="B6" s="23">
        <v>2022</v>
      </c>
      <c r="C6" s="23" t="s">
        <v>15</v>
      </c>
      <c r="D6" s="23" t="s">
        <v>209</v>
      </c>
      <c r="E6" s="23">
        <v>198</v>
      </c>
      <c r="F6" s="23" t="s">
        <v>137</v>
      </c>
      <c r="G6" s="23" t="s">
        <v>199</v>
      </c>
      <c r="H6" s="23" t="s">
        <v>200</v>
      </c>
      <c r="I6" s="24">
        <v>0.12</v>
      </c>
      <c r="J6" s="24">
        <v>0.14000000000000001</v>
      </c>
      <c r="K6" s="24">
        <f>L4</f>
        <v>0.16</v>
      </c>
      <c r="L6" s="24">
        <v>0.01</v>
      </c>
      <c r="M6" s="24" t="s">
        <v>211</v>
      </c>
      <c r="N6" s="27" t="s">
        <v>212</v>
      </c>
      <c r="O6" s="23" t="s">
        <v>213</v>
      </c>
      <c r="P6" s="23">
        <v>3</v>
      </c>
      <c r="Q6" s="26"/>
      <c r="R6" s="13">
        <f t="shared" si="0"/>
        <v>0.13</v>
      </c>
      <c r="S6" s="13">
        <f t="shared" si="1"/>
        <v>0.12000000000000001</v>
      </c>
      <c r="T6" s="13" t="str">
        <f t="shared" si="2"/>
        <v/>
      </c>
      <c r="U6" s="13" t="str">
        <f t="shared" si="3"/>
        <v/>
      </c>
      <c r="V6" s="14">
        <f t="shared" si="4"/>
        <v>0</v>
      </c>
      <c r="W6" s="26"/>
      <c r="X6" t="str">
        <f t="shared" si="5"/>
        <v>unterhalb</v>
      </c>
      <c r="Y6" s="13">
        <f t="shared" si="6"/>
        <v>0.12000000000000001</v>
      </c>
      <c r="Z6" t="str">
        <f>IFERROR(VLOOKUP(A6,Unternehmen!$A:$D,4,FALSE()),"")</f>
        <v>Konsumgueter</v>
      </c>
    </row>
    <row r="7" spans="1:26" ht="15" customHeight="1" x14ac:dyDescent="0.35">
      <c r="A7" s="23" t="s">
        <v>7</v>
      </c>
      <c r="B7" s="23">
        <v>2022</v>
      </c>
      <c r="C7" s="23" t="s">
        <v>155</v>
      </c>
      <c r="D7" s="23" t="s">
        <v>214</v>
      </c>
      <c r="E7" s="23">
        <v>198</v>
      </c>
      <c r="F7" s="23" t="s">
        <v>137</v>
      </c>
      <c r="G7" s="23" t="s">
        <v>203</v>
      </c>
      <c r="H7" s="23" t="s">
        <v>204</v>
      </c>
      <c r="I7" s="24">
        <v>0.105</v>
      </c>
      <c r="J7" s="24">
        <v>0.11</v>
      </c>
      <c r="K7" s="24">
        <f>L5</f>
        <v>9.4E-2</v>
      </c>
      <c r="L7" s="24">
        <v>0.03</v>
      </c>
      <c r="M7" s="24" t="s">
        <v>215</v>
      </c>
      <c r="N7" s="27" t="s">
        <v>216</v>
      </c>
      <c r="O7" s="23" t="s">
        <v>213</v>
      </c>
      <c r="P7" s="23">
        <v>3</v>
      </c>
      <c r="Q7" s="26"/>
      <c r="R7" s="13">
        <f t="shared" si="0"/>
        <v>0.1075</v>
      </c>
      <c r="S7" s="13">
        <f t="shared" si="1"/>
        <v>7.7499999999999999E-2</v>
      </c>
      <c r="T7" s="13" t="str">
        <f t="shared" si="2"/>
        <v/>
      </c>
      <c r="U7" s="13" t="str">
        <f t="shared" si="3"/>
        <v/>
      </c>
      <c r="V7" s="14">
        <f t="shared" si="4"/>
        <v>0</v>
      </c>
      <c r="W7" s="26"/>
      <c r="X7" t="str">
        <f t="shared" si="5"/>
        <v>unterhalb</v>
      </c>
      <c r="Y7" s="13">
        <f t="shared" si="6"/>
        <v>7.7499999999999999E-2</v>
      </c>
      <c r="Z7" t="str">
        <f>IFERROR(VLOOKUP(A7,Unternehmen!$A:$D,4,FALSE()),"")</f>
        <v>Konsumgueter</v>
      </c>
    </row>
    <row r="8" spans="1:26" ht="14.25" customHeight="1" x14ac:dyDescent="0.35">
      <c r="A8" s="23" t="s">
        <v>7</v>
      </c>
      <c r="B8" s="23">
        <v>2023</v>
      </c>
      <c r="C8" s="23" t="s">
        <v>15</v>
      </c>
      <c r="D8" s="23" t="s">
        <v>213</v>
      </c>
      <c r="E8" s="23">
        <v>169</v>
      </c>
      <c r="F8" s="23" t="s">
        <v>137</v>
      </c>
      <c r="G8" s="23" t="s">
        <v>199</v>
      </c>
      <c r="H8" s="23" t="s">
        <v>200</v>
      </c>
      <c r="I8" s="24">
        <v>-0.09</v>
      </c>
      <c r="J8" s="24">
        <v>-7.0000000000000007E-2</v>
      </c>
      <c r="K8" s="24">
        <f>L7</f>
        <v>0.03</v>
      </c>
      <c r="L8" s="24">
        <v>0</v>
      </c>
      <c r="M8" s="24" t="s">
        <v>217</v>
      </c>
      <c r="N8" s="29" t="s">
        <v>218</v>
      </c>
      <c r="O8" s="23" t="s">
        <v>219</v>
      </c>
      <c r="P8" s="23">
        <v>4</v>
      </c>
      <c r="Q8" s="26"/>
      <c r="R8" s="13">
        <f t="shared" si="0"/>
        <v>-0.08</v>
      </c>
      <c r="S8" s="13">
        <f t="shared" si="1"/>
        <v>-0.08</v>
      </c>
      <c r="T8" s="13" t="str">
        <f t="shared" si="2"/>
        <v/>
      </c>
      <c r="U8" s="13" t="str">
        <f t="shared" si="3"/>
        <v/>
      </c>
      <c r="V8" s="14">
        <f t="shared" si="4"/>
        <v>0</v>
      </c>
      <c r="W8" s="26"/>
      <c r="X8" t="str">
        <f t="shared" si="5"/>
        <v>oberhalb</v>
      </c>
      <c r="Y8" s="13">
        <f t="shared" si="6"/>
        <v>0.08</v>
      </c>
      <c r="Z8" t="str">
        <f>IFERROR(VLOOKUP(A8,Unternehmen!$A:$D,4,FALSE()),"")</f>
        <v>Konsumgueter</v>
      </c>
    </row>
    <row r="9" spans="1:26" ht="15" customHeight="1" x14ac:dyDescent="0.35">
      <c r="A9" s="23" t="s">
        <v>7</v>
      </c>
      <c r="B9" s="23">
        <v>2023</v>
      </c>
      <c r="C9" s="23" t="s">
        <v>155</v>
      </c>
      <c r="D9" s="23" t="s">
        <v>213</v>
      </c>
      <c r="E9" s="23">
        <v>169</v>
      </c>
      <c r="F9" s="23" t="s">
        <v>139</v>
      </c>
      <c r="G9" s="23" t="s">
        <v>220</v>
      </c>
      <c r="H9" s="23" t="s">
        <v>221</v>
      </c>
      <c r="I9" s="25">
        <v>-700</v>
      </c>
      <c r="J9" s="25">
        <v>-700</v>
      </c>
      <c r="K9" s="30"/>
      <c r="L9" s="25">
        <v>268</v>
      </c>
      <c r="M9" s="30"/>
      <c r="N9" s="29" t="s">
        <v>218</v>
      </c>
      <c r="O9" s="23" t="s">
        <v>219</v>
      </c>
      <c r="P9" s="23">
        <v>4</v>
      </c>
      <c r="Q9" s="26" t="s">
        <v>222</v>
      </c>
      <c r="R9" s="31">
        <f t="shared" si="0"/>
        <v>-700</v>
      </c>
      <c r="S9" s="31">
        <f t="shared" si="1"/>
        <v>-968</v>
      </c>
      <c r="T9" s="13">
        <f t="shared" si="2"/>
        <v>-3.6119402985074629</v>
      </c>
      <c r="U9" s="13">
        <f t="shared" si="3"/>
        <v>3.6119402985074629</v>
      </c>
      <c r="V9" s="14" t="str">
        <f t="shared" si="4"/>
        <v/>
      </c>
      <c r="W9" s="26"/>
      <c r="X9" t="str">
        <f t="shared" si="5"/>
        <v>Punktprognose</v>
      </c>
      <c r="Y9" s="31" t="str">
        <f t="shared" si="6"/>
        <v/>
      </c>
      <c r="Z9" t="str">
        <f>IFERROR(VLOOKUP(A9,Unternehmen!$A:$D,4,FALSE()),"")</f>
        <v>Konsumgueter</v>
      </c>
    </row>
    <row r="10" spans="1:26" ht="15" customHeight="1" x14ac:dyDescent="0.35">
      <c r="A10" s="23" t="s">
        <v>7</v>
      </c>
      <c r="B10" s="23">
        <v>2024</v>
      </c>
      <c r="C10" s="23" t="s">
        <v>15</v>
      </c>
      <c r="D10" s="23" t="s">
        <v>219</v>
      </c>
      <c r="E10" s="23">
        <v>179</v>
      </c>
      <c r="F10" s="23" t="s">
        <v>137</v>
      </c>
      <c r="G10" s="23" t="s">
        <v>199</v>
      </c>
      <c r="H10" s="23" t="s">
        <v>200</v>
      </c>
      <c r="I10" s="24">
        <v>0.04</v>
      </c>
      <c r="J10" s="24">
        <v>0.06</v>
      </c>
      <c r="K10" s="24">
        <f>L8</f>
        <v>0</v>
      </c>
      <c r="L10" s="24">
        <v>0.12</v>
      </c>
      <c r="M10" s="24" t="s">
        <v>223</v>
      </c>
      <c r="N10" s="29" t="s">
        <v>218</v>
      </c>
      <c r="O10" s="23" t="s">
        <v>224</v>
      </c>
      <c r="P10" s="23">
        <v>4</v>
      </c>
      <c r="Q10" s="26"/>
      <c r="R10" s="13">
        <f t="shared" si="0"/>
        <v>0.05</v>
      </c>
      <c r="S10" s="13">
        <f t="shared" si="1"/>
        <v>-6.9999999999999993E-2</v>
      </c>
      <c r="T10" s="13" t="str">
        <f t="shared" si="2"/>
        <v/>
      </c>
      <c r="U10" s="13" t="str">
        <f t="shared" si="3"/>
        <v/>
      </c>
      <c r="V10" s="14">
        <f t="shared" si="4"/>
        <v>0</v>
      </c>
      <c r="W10" s="26"/>
      <c r="X10" t="str">
        <f t="shared" si="5"/>
        <v>oberhalb</v>
      </c>
      <c r="Y10" s="13">
        <f t="shared" si="6"/>
        <v>6.9999999999999993E-2</v>
      </c>
      <c r="Z10" t="str">
        <f>IFERROR(VLOOKUP(A10,Unternehmen!$A:$D,4,FALSE()),"")</f>
        <v>Konsumgueter</v>
      </c>
    </row>
    <row r="11" spans="1:26" ht="15" customHeight="1" x14ac:dyDescent="0.35">
      <c r="A11" s="23" t="s">
        <v>7</v>
      </c>
      <c r="B11" s="23">
        <v>2024</v>
      </c>
      <c r="C11" s="23" t="s">
        <v>155</v>
      </c>
      <c r="D11" s="23" t="s">
        <v>219</v>
      </c>
      <c r="E11" s="23">
        <v>179</v>
      </c>
      <c r="F11" s="23" t="s">
        <v>139</v>
      </c>
      <c r="G11" s="23" t="s">
        <v>220</v>
      </c>
      <c r="H11" s="23" t="s">
        <v>221</v>
      </c>
      <c r="I11" s="25">
        <v>500</v>
      </c>
      <c r="J11" s="25">
        <v>500</v>
      </c>
      <c r="K11" s="25">
        <f>L9</f>
        <v>268</v>
      </c>
      <c r="L11" s="25">
        <v>1337</v>
      </c>
      <c r="M11" s="25">
        <f t="shared" ref="M11:M18" si="7">L11-K11</f>
        <v>1069</v>
      </c>
      <c r="N11" s="29" t="s">
        <v>218</v>
      </c>
      <c r="O11" s="23" t="s">
        <v>224</v>
      </c>
      <c r="P11" s="23">
        <v>4</v>
      </c>
      <c r="Q11" s="26"/>
      <c r="R11" s="31">
        <f t="shared" si="0"/>
        <v>500</v>
      </c>
      <c r="S11" s="31">
        <f t="shared" si="1"/>
        <v>-837</v>
      </c>
      <c r="T11" s="13">
        <f t="shared" si="2"/>
        <v>-0.62602842183994012</v>
      </c>
      <c r="U11" s="13">
        <f t="shared" si="3"/>
        <v>0.62602842183994012</v>
      </c>
      <c r="V11" s="14" t="str">
        <f t="shared" si="4"/>
        <v/>
      </c>
      <c r="W11" s="26"/>
      <c r="X11" t="str">
        <f t="shared" si="5"/>
        <v>Punktprognose</v>
      </c>
      <c r="Y11" s="31" t="str">
        <f t="shared" si="6"/>
        <v/>
      </c>
      <c r="Z11" t="str">
        <f>IFERROR(VLOOKUP(A11,Unternehmen!$A:$D,4,FALSE()),"")</f>
        <v>Konsumgueter</v>
      </c>
    </row>
    <row r="12" spans="1:26" ht="15" customHeight="1" x14ac:dyDescent="0.35">
      <c r="A12" s="23" t="s">
        <v>12</v>
      </c>
      <c r="B12" s="23">
        <v>2020</v>
      </c>
      <c r="C12" s="23" t="s">
        <v>155</v>
      </c>
      <c r="D12" s="23" t="s">
        <v>225</v>
      </c>
      <c r="E12" s="23">
        <v>67</v>
      </c>
      <c r="F12" s="23" t="s">
        <v>138</v>
      </c>
      <c r="G12" s="23" t="s">
        <v>220</v>
      </c>
      <c r="H12" s="23" t="s">
        <v>226</v>
      </c>
      <c r="I12" s="25">
        <v>11.5</v>
      </c>
      <c r="J12" s="25">
        <v>12.5</v>
      </c>
      <c r="K12" s="25">
        <v>11.855</v>
      </c>
      <c r="L12" s="25">
        <v>10.750999999999999</v>
      </c>
      <c r="M12" s="25">
        <f t="shared" si="7"/>
        <v>-1.104000000000001</v>
      </c>
      <c r="N12" s="25" t="s">
        <v>227</v>
      </c>
      <c r="O12" s="23" t="s">
        <v>228</v>
      </c>
      <c r="P12" s="23">
        <v>67</v>
      </c>
      <c r="Q12" s="26"/>
      <c r="R12" s="31">
        <f t="shared" si="0"/>
        <v>12</v>
      </c>
      <c r="S12" s="31">
        <f t="shared" si="1"/>
        <v>1.2490000000000006</v>
      </c>
      <c r="T12" s="13">
        <f t="shared" si="2"/>
        <v>0.11617523951260354</v>
      </c>
      <c r="U12" s="13">
        <f t="shared" si="3"/>
        <v>0.11617523951260354</v>
      </c>
      <c r="V12" s="14">
        <f t="shared" si="4"/>
        <v>0</v>
      </c>
      <c r="W12" s="26"/>
      <c r="X12" t="str">
        <f t="shared" si="5"/>
        <v>unterhalb</v>
      </c>
      <c r="Y12" s="31" t="str">
        <f t="shared" si="6"/>
        <v/>
      </c>
      <c r="Z12" t="str">
        <f>IFERROR(VLOOKUP(A12,Unternehmen!$A:$D,4,FALSE()),"")</f>
        <v>Versicherungen</v>
      </c>
    </row>
    <row r="13" spans="1:26" ht="15" customHeight="1" x14ac:dyDescent="0.35">
      <c r="A13" s="23" t="s">
        <v>12</v>
      </c>
      <c r="B13" s="23">
        <v>2020</v>
      </c>
      <c r="C13" s="23" t="s">
        <v>15</v>
      </c>
      <c r="D13" s="23" t="s">
        <v>225</v>
      </c>
      <c r="E13" s="23">
        <v>68</v>
      </c>
      <c r="F13" s="23" t="s">
        <v>133</v>
      </c>
      <c r="G13" s="23" t="s">
        <v>220</v>
      </c>
      <c r="H13" s="23" t="s">
        <v>221</v>
      </c>
      <c r="I13" s="30"/>
      <c r="J13" s="30"/>
      <c r="K13" s="25">
        <v>142.369</v>
      </c>
      <c r="L13" s="25">
        <v>140.45500000000001</v>
      </c>
      <c r="M13" s="25">
        <f t="shared" si="7"/>
        <v>-1.9139999999999873</v>
      </c>
      <c r="N13" s="32" t="s">
        <v>229</v>
      </c>
      <c r="O13" s="23" t="s">
        <v>228</v>
      </c>
      <c r="P13" s="23">
        <v>67</v>
      </c>
      <c r="Q13" s="26"/>
      <c r="R13" s="31" t="str">
        <f t="shared" si="0"/>
        <v/>
      </c>
      <c r="S13" s="31" t="str">
        <f t="shared" si="1"/>
        <v/>
      </c>
      <c r="T13" s="13" t="str">
        <f t="shared" si="2"/>
        <v/>
      </c>
      <c r="U13" s="13" t="str">
        <f t="shared" si="3"/>
        <v/>
      </c>
      <c r="V13" s="14" t="str">
        <f t="shared" si="4"/>
        <v/>
      </c>
      <c r="W13" s="26" t="s">
        <v>230</v>
      </c>
      <c r="X13" t="str">
        <f t="shared" si="5"/>
        <v>nicht auswertbar</v>
      </c>
      <c r="Y13" s="31" t="str">
        <f t="shared" si="6"/>
        <v/>
      </c>
      <c r="Z13" t="str">
        <f>IFERROR(VLOOKUP(A13,Unternehmen!$A:$D,4,FALSE()),"")</f>
        <v>Versicherungen</v>
      </c>
    </row>
    <row r="14" spans="1:26" ht="15" customHeight="1" x14ac:dyDescent="0.35">
      <c r="A14" s="23" t="s">
        <v>12</v>
      </c>
      <c r="B14" s="23">
        <v>2021</v>
      </c>
      <c r="C14" s="23" t="s">
        <v>155</v>
      </c>
      <c r="D14" s="23" t="s">
        <v>228</v>
      </c>
      <c r="E14" s="23">
        <v>80</v>
      </c>
      <c r="F14" s="23" t="s">
        <v>138</v>
      </c>
      <c r="G14" s="23" t="s">
        <v>220</v>
      </c>
      <c r="H14" s="23" t="s">
        <v>226</v>
      </c>
      <c r="I14" s="25">
        <v>11</v>
      </c>
      <c r="J14" s="25">
        <v>13</v>
      </c>
      <c r="K14" s="25">
        <f>L12</f>
        <v>10.750999999999999</v>
      </c>
      <c r="L14" s="25">
        <v>13.4</v>
      </c>
      <c r="M14" s="25">
        <f t="shared" si="7"/>
        <v>2.6490000000000009</v>
      </c>
      <c r="N14" s="29" t="s">
        <v>218</v>
      </c>
      <c r="O14" s="23" t="s">
        <v>231</v>
      </c>
      <c r="P14" s="23">
        <v>78</v>
      </c>
      <c r="Q14" s="26"/>
      <c r="R14" s="31">
        <f t="shared" si="0"/>
        <v>12</v>
      </c>
      <c r="S14" s="31">
        <f t="shared" si="1"/>
        <v>-1.4000000000000004</v>
      </c>
      <c r="T14" s="13">
        <f t="shared" si="2"/>
        <v>-0.10447761194029853</v>
      </c>
      <c r="U14" s="13">
        <f t="shared" si="3"/>
        <v>0.10447761194029853</v>
      </c>
      <c r="V14" s="14">
        <f t="shared" si="4"/>
        <v>0</v>
      </c>
      <c r="W14" s="26"/>
      <c r="X14" t="str">
        <f t="shared" si="5"/>
        <v>oberhalb</v>
      </c>
      <c r="Y14" s="31" t="str">
        <f t="shared" si="6"/>
        <v/>
      </c>
      <c r="Z14" t="str">
        <f>IFERROR(VLOOKUP(A14,Unternehmen!$A:$D,4,FALSE()),"")</f>
        <v>Versicherungen</v>
      </c>
    </row>
    <row r="15" spans="1:26" ht="15" customHeight="1" x14ac:dyDescent="0.35">
      <c r="A15" s="23" t="s">
        <v>12</v>
      </c>
      <c r="B15" s="23">
        <v>2021</v>
      </c>
      <c r="C15" s="23" t="s">
        <v>15</v>
      </c>
      <c r="D15" s="23" t="s">
        <v>228</v>
      </c>
      <c r="E15" s="23">
        <v>80</v>
      </c>
      <c r="F15" s="23" t="s">
        <v>133</v>
      </c>
      <c r="G15" s="23" t="s">
        <v>220</v>
      </c>
      <c r="H15" s="23" t="s">
        <v>221</v>
      </c>
      <c r="I15" s="30"/>
      <c r="J15" s="30"/>
      <c r="K15" s="25">
        <f>L13</f>
        <v>140.45500000000001</v>
      </c>
      <c r="L15" s="25">
        <v>148.511</v>
      </c>
      <c r="M15" s="25">
        <f t="shared" si="7"/>
        <v>8.0559999999999832</v>
      </c>
      <c r="N15" s="28" t="s">
        <v>208</v>
      </c>
      <c r="O15" s="23" t="s">
        <v>231</v>
      </c>
      <c r="P15" s="23">
        <v>78</v>
      </c>
      <c r="Q15" s="26"/>
      <c r="R15" s="31" t="str">
        <f t="shared" si="0"/>
        <v/>
      </c>
      <c r="S15" s="31" t="str">
        <f t="shared" si="1"/>
        <v/>
      </c>
      <c r="T15" s="13" t="str">
        <f t="shared" si="2"/>
        <v/>
      </c>
      <c r="U15" s="13" t="str">
        <f t="shared" si="3"/>
        <v/>
      </c>
      <c r="V15" s="14" t="str">
        <f t="shared" si="4"/>
        <v/>
      </c>
      <c r="W15" s="26" t="s">
        <v>230</v>
      </c>
      <c r="X15" t="str">
        <f t="shared" si="5"/>
        <v>nicht auswertbar</v>
      </c>
      <c r="Y15" s="31" t="str">
        <f t="shared" si="6"/>
        <v/>
      </c>
      <c r="Z15" t="str">
        <f>IFERROR(VLOOKUP(A15,Unternehmen!$A:$D,4,FALSE()),"")</f>
        <v>Versicherungen</v>
      </c>
    </row>
    <row r="16" spans="1:26" ht="15" customHeight="1" x14ac:dyDescent="0.35">
      <c r="A16" s="23" t="s">
        <v>12</v>
      </c>
      <c r="B16" s="23">
        <v>2022</v>
      </c>
      <c r="C16" s="23" t="s">
        <v>155</v>
      </c>
      <c r="D16" s="23" t="s">
        <v>231</v>
      </c>
      <c r="E16" s="23">
        <v>90</v>
      </c>
      <c r="F16" s="23" t="s">
        <v>138</v>
      </c>
      <c r="G16" s="23" t="s">
        <v>220</v>
      </c>
      <c r="H16" s="23" t="s">
        <v>226</v>
      </c>
      <c r="I16" s="25">
        <v>12.4</v>
      </c>
      <c r="J16" s="25">
        <v>14.4</v>
      </c>
      <c r="K16" s="25">
        <f>L14</f>
        <v>13.4</v>
      </c>
      <c r="L16" s="25">
        <v>14.164</v>
      </c>
      <c r="M16" s="25">
        <f t="shared" si="7"/>
        <v>0.76399999999999935</v>
      </c>
      <c r="N16" s="28" t="s">
        <v>208</v>
      </c>
      <c r="O16" s="23" t="s">
        <v>232</v>
      </c>
      <c r="P16" s="23">
        <v>81</v>
      </c>
      <c r="Q16" s="26"/>
      <c r="R16" s="31">
        <f t="shared" si="0"/>
        <v>13.4</v>
      </c>
      <c r="S16" s="31">
        <f t="shared" si="1"/>
        <v>-0.76399999999999935</v>
      </c>
      <c r="T16" s="13">
        <f t="shared" si="2"/>
        <v>-5.3939565094605998E-2</v>
      </c>
      <c r="U16" s="13">
        <f t="shared" si="3"/>
        <v>5.3939565094605998E-2</v>
      </c>
      <c r="V16" s="14">
        <f t="shared" si="4"/>
        <v>1</v>
      </c>
      <c r="W16" s="26"/>
      <c r="X16" t="str">
        <f t="shared" si="5"/>
        <v>innerhalb</v>
      </c>
      <c r="Y16" s="31" t="str">
        <f t="shared" si="6"/>
        <v/>
      </c>
      <c r="Z16" t="str">
        <f>IFERROR(VLOOKUP(A16,Unternehmen!$A:$D,4,FALSE()),"")</f>
        <v>Versicherungen</v>
      </c>
    </row>
    <row r="17" spans="1:26" ht="15" customHeight="1" x14ac:dyDescent="0.35">
      <c r="A17" s="23" t="s">
        <v>12</v>
      </c>
      <c r="B17" s="23">
        <v>2022</v>
      </c>
      <c r="C17" s="23" t="s">
        <v>15</v>
      </c>
      <c r="D17" s="23" t="s">
        <v>231</v>
      </c>
      <c r="E17" s="23">
        <v>91</v>
      </c>
      <c r="F17" s="23" t="s">
        <v>133</v>
      </c>
      <c r="G17" s="23" t="s">
        <v>220</v>
      </c>
      <c r="H17" s="23" t="s">
        <v>221</v>
      </c>
      <c r="I17" s="30"/>
      <c r="J17" s="30"/>
      <c r="K17" s="25">
        <f>L15</f>
        <v>148.511</v>
      </c>
      <c r="L17" s="25">
        <v>152.67099999999999</v>
      </c>
      <c r="M17" s="25">
        <f t="shared" si="7"/>
        <v>4.1599999999999966</v>
      </c>
      <c r="N17" s="28" t="s">
        <v>208</v>
      </c>
      <c r="O17" s="23" t="s">
        <v>232</v>
      </c>
      <c r="P17" s="23">
        <v>81</v>
      </c>
      <c r="Q17" s="26"/>
      <c r="R17" s="31" t="str">
        <f t="shared" si="0"/>
        <v/>
      </c>
      <c r="S17" s="31" t="str">
        <f t="shared" si="1"/>
        <v/>
      </c>
      <c r="T17" s="13" t="str">
        <f t="shared" si="2"/>
        <v/>
      </c>
      <c r="U17" s="13" t="str">
        <f t="shared" si="3"/>
        <v/>
      </c>
      <c r="V17" s="14" t="str">
        <f t="shared" si="4"/>
        <v/>
      </c>
      <c r="W17" s="26" t="s">
        <v>230</v>
      </c>
      <c r="X17" t="str">
        <f t="shared" si="5"/>
        <v>nicht auswertbar</v>
      </c>
      <c r="Y17" s="31" t="str">
        <f t="shared" si="6"/>
        <v/>
      </c>
      <c r="Z17" t="str">
        <f>IFERROR(VLOOKUP(A17,Unternehmen!$A:$D,4,FALSE()),"")</f>
        <v>Versicherungen</v>
      </c>
    </row>
    <row r="18" spans="1:26" ht="15" customHeight="1" x14ac:dyDescent="0.35">
      <c r="A18" s="23" t="s">
        <v>12</v>
      </c>
      <c r="B18" s="23">
        <v>2023</v>
      </c>
      <c r="C18" s="23" t="s">
        <v>155</v>
      </c>
      <c r="D18" s="23" t="s">
        <v>232</v>
      </c>
      <c r="E18" s="23">
        <v>94</v>
      </c>
      <c r="F18" s="23" t="s">
        <v>138</v>
      </c>
      <c r="G18" s="23" t="s">
        <v>220</v>
      </c>
      <c r="H18" s="23" t="s">
        <v>226</v>
      </c>
      <c r="I18" s="25">
        <v>13.2</v>
      </c>
      <c r="J18" s="25">
        <v>15.2</v>
      </c>
      <c r="K18" s="25">
        <f>L16</f>
        <v>14.164</v>
      </c>
      <c r="L18" s="25">
        <v>14.7</v>
      </c>
      <c r="M18" s="25">
        <f t="shared" si="7"/>
        <v>0.53599999999999959</v>
      </c>
      <c r="N18" s="28" t="s">
        <v>208</v>
      </c>
      <c r="O18" s="23" t="s">
        <v>233</v>
      </c>
      <c r="P18" s="23">
        <v>128</v>
      </c>
      <c r="Q18" s="26"/>
      <c r="R18" s="31">
        <f t="shared" si="0"/>
        <v>14.2</v>
      </c>
      <c r="S18" s="31">
        <f t="shared" si="1"/>
        <v>-0.5</v>
      </c>
      <c r="T18" s="13">
        <f t="shared" si="2"/>
        <v>-3.4013605442176874E-2</v>
      </c>
      <c r="U18" s="13">
        <f t="shared" si="3"/>
        <v>3.4013605442176874E-2</v>
      </c>
      <c r="V18" s="14">
        <f t="shared" si="4"/>
        <v>1</v>
      </c>
      <c r="W18" s="26"/>
      <c r="X18" t="str">
        <f t="shared" si="5"/>
        <v>innerhalb</v>
      </c>
      <c r="Y18" s="31" t="str">
        <f t="shared" si="6"/>
        <v/>
      </c>
      <c r="Z18" t="str">
        <f>IFERROR(VLOOKUP(A18,Unternehmen!$A:$D,4,FALSE()),"")</f>
        <v>Versicherungen</v>
      </c>
    </row>
    <row r="19" spans="1:26" ht="15" customHeight="1" x14ac:dyDescent="0.35">
      <c r="A19" s="23" t="s">
        <v>12</v>
      </c>
      <c r="B19" s="23">
        <v>2023</v>
      </c>
      <c r="C19" s="23" t="s">
        <v>15</v>
      </c>
      <c r="D19" s="23" t="s">
        <v>232</v>
      </c>
      <c r="E19" s="23">
        <v>94</v>
      </c>
      <c r="F19" s="23" t="s">
        <v>139</v>
      </c>
      <c r="G19" s="23" t="s">
        <v>199</v>
      </c>
      <c r="H19" s="23" t="s">
        <v>200</v>
      </c>
      <c r="I19" s="24">
        <v>7.0000000000000007E-2</v>
      </c>
      <c r="J19" s="24">
        <v>7.0000000000000007E-2</v>
      </c>
      <c r="K19" s="34"/>
      <c r="L19" s="24">
        <v>0.08</v>
      </c>
      <c r="M19" s="34"/>
      <c r="N19" s="29" t="s">
        <v>218</v>
      </c>
      <c r="O19" s="23" t="s">
        <v>233</v>
      </c>
      <c r="P19" s="23">
        <v>128</v>
      </c>
      <c r="Q19" s="26"/>
      <c r="R19" s="13">
        <f t="shared" si="0"/>
        <v>7.0000000000000007E-2</v>
      </c>
      <c r="S19" s="13">
        <f t="shared" si="1"/>
        <v>-9.999999999999995E-3</v>
      </c>
      <c r="T19" s="13" t="str">
        <f t="shared" si="2"/>
        <v/>
      </c>
      <c r="U19" s="13" t="str">
        <f t="shared" si="3"/>
        <v/>
      </c>
      <c r="V19" s="14" t="str">
        <f t="shared" si="4"/>
        <v/>
      </c>
      <c r="W19" s="26" t="s">
        <v>234</v>
      </c>
      <c r="X19" t="str">
        <f t="shared" si="5"/>
        <v>Punktprognose</v>
      </c>
      <c r="Y19" s="13">
        <f t="shared" si="6"/>
        <v>9.999999999999995E-3</v>
      </c>
      <c r="Z19" t="str">
        <f>IFERROR(VLOOKUP(A19,Unternehmen!$A:$D,4,FALSE()),"")</f>
        <v>Versicherungen</v>
      </c>
    </row>
    <row r="20" spans="1:26" ht="15" customHeight="1" x14ac:dyDescent="0.35">
      <c r="A20" s="23" t="s">
        <v>12</v>
      </c>
      <c r="B20" s="23">
        <v>2024</v>
      </c>
      <c r="C20" s="23" t="s">
        <v>155</v>
      </c>
      <c r="D20" s="23" t="s">
        <v>233</v>
      </c>
      <c r="E20" s="23">
        <v>130</v>
      </c>
      <c r="F20" s="23" t="s">
        <v>138</v>
      </c>
      <c r="G20" s="23" t="s">
        <v>220</v>
      </c>
      <c r="H20" s="23" t="s">
        <v>226</v>
      </c>
      <c r="I20" s="25">
        <v>13.8</v>
      </c>
      <c r="J20" s="25">
        <v>15.8</v>
      </c>
      <c r="K20" s="25">
        <f>L18</f>
        <v>14.7</v>
      </c>
      <c r="L20" s="25">
        <v>16</v>
      </c>
      <c r="M20" s="25">
        <f>L20-K20</f>
        <v>1.3000000000000007</v>
      </c>
      <c r="N20" s="29" t="s">
        <v>218</v>
      </c>
      <c r="O20" s="23" t="s">
        <v>235</v>
      </c>
      <c r="P20" s="23">
        <v>222</v>
      </c>
      <c r="Q20" s="26"/>
      <c r="R20" s="31">
        <f t="shared" si="0"/>
        <v>14.8</v>
      </c>
      <c r="S20" s="31">
        <f t="shared" si="1"/>
        <v>-1.1999999999999993</v>
      </c>
      <c r="T20" s="13">
        <f t="shared" si="2"/>
        <v>-7.4999999999999956E-2</v>
      </c>
      <c r="U20" s="13">
        <f t="shared" si="3"/>
        <v>7.4999999999999956E-2</v>
      </c>
      <c r="V20" s="14">
        <f t="shared" si="4"/>
        <v>0</v>
      </c>
      <c r="W20" s="26"/>
      <c r="X20" t="str">
        <f t="shared" si="5"/>
        <v>oberhalb</v>
      </c>
      <c r="Y20" s="31" t="str">
        <f t="shared" si="6"/>
        <v/>
      </c>
      <c r="Z20" t="str">
        <f>IFERROR(VLOOKUP(A20,Unternehmen!$A:$D,4,FALSE()),"")</f>
        <v>Versicherungen</v>
      </c>
    </row>
    <row r="21" spans="1:26" ht="15" customHeight="1" x14ac:dyDescent="0.35">
      <c r="A21" s="23" t="s">
        <v>12</v>
      </c>
      <c r="B21" s="23">
        <v>2024</v>
      </c>
      <c r="C21" s="23" t="s">
        <v>15</v>
      </c>
      <c r="D21" s="23" t="s">
        <v>233</v>
      </c>
      <c r="E21" s="23">
        <v>130</v>
      </c>
      <c r="F21" s="23" t="s">
        <v>139</v>
      </c>
      <c r="G21" s="23" t="s">
        <v>199</v>
      </c>
      <c r="H21" s="23" t="s">
        <v>200</v>
      </c>
      <c r="I21" s="24">
        <v>0.03</v>
      </c>
      <c r="J21" s="24">
        <v>0.03</v>
      </c>
      <c r="K21" s="24">
        <f>L19</f>
        <v>0.08</v>
      </c>
      <c r="L21" s="24">
        <v>8.3000000000000004E-2</v>
      </c>
      <c r="M21" s="24" t="s">
        <v>236</v>
      </c>
      <c r="N21" s="28" t="s">
        <v>208</v>
      </c>
      <c r="O21" s="23" t="s">
        <v>235</v>
      </c>
      <c r="P21" s="23">
        <v>222</v>
      </c>
      <c r="Q21" s="26"/>
      <c r="R21" s="13">
        <f t="shared" si="0"/>
        <v>0.03</v>
      </c>
      <c r="S21" s="13">
        <f t="shared" si="1"/>
        <v>-5.3000000000000005E-2</v>
      </c>
      <c r="T21" s="13" t="str">
        <f t="shared" si="2"/>
        <v/>
      </c>
      <c r="U21" s="13" t="str">
        <f t="shared" si="3"/>
        <v/>
      </c>
      <c r="V21" s="14" t="str">
        <f t="shared" si="4"/>
        <v/>
      </c>
      <c r="W21" s="26" t="s">
        <v>237</v>
      </c>
      <c r="X21" t="str">
        <f t="shared" si="5"/>
        <v>Punktprognose</v>
      </c>
      <c r="Y21" s="13">
        <f t="shared" si="6"/>
        <v>5.3000000000000005E-2</v>
      </c>
      <c r="Z21" t="str">
        <f>IFERROR(VLOOKUP(A21,Unternehmen!$A:$D,4,FALSE()),"")</f>
        <v>Versicherungen</v>
      </c>
    </row>
    <row r="22" spans="1:26" ht="15" customHeight="1" x14ac:dyDescent="0.35">
      <c r="A22" s="23" t="s">
        <v>18</v>
      </c>
      <c r="B22" s="23">
        <v>2020</v>
      </c>
      <c r="C22" s="23" t="s">
        <v>15</v>
      </c>
      <c r="D22" s="23" t="s">
        <v>238</v>
      </c>
      <c r="E22" s="23">
        <v>136</v>
      </c>
      <c r="F22" s="23" t="s">
        <v>138</v>
      </c>
      <c r="G22" s="23" t="s">
        <v>220</v>
      </c>
      <c r="H22" s="23" t="s">
        <v>226</v>
      </c>
      <c r="I22" s="25">
        <v>60</v>
      </c>
      <c r="J22" s="25">
        <v>63</v>
      </c>
      <c r="K22" s="25">
        <v>59.316000000000003</v>
      </c>
      <c r="L22" s="25">
        <v>59.149000000000001</v>
      </c>
      <c r="M22" s="25">
        <f t="shared" ref="M22:M29" si="8">L22-K22</f>
        <v>-0.16700000000000159</v>
      </c>
      <c r="N22" s="25" t="s">
        <v>239</v>
      </c>
      <c r="O22" s="23" t="s">
        <v>240</v>
      </c>
      <c r="P22" s="23">
        <v>156</v>
      </c>
      <c r="Q22" s="26"/>
      <c r="R22" s="31">
        <f t="shared" si="0"/>
        <v>61.5</v>
      </c>
      <c r="S22" s="31">
        <f t="shared" si="1"/>
        <v>2.3509999999999991</v>
      </c>
      <c r="T22" s="13">
        <f t="shared" si="2"/>
        <v>3.9747079409626518E-2</v>
      </c>
      <c r="U22" s="13">
        <f t="shared" si="3"/>
        <v>3.9747079409626518E-2</v>
      </c>
      <c r="V22" s="14">
        <f t="shared" si="4"/>
        <v>0</v>
      </c>
      <c r="W22" s="26"/>
      <c r="X22" t="str">
        <f t="shared" si="5"/>
        <v>unterhalb</v>
      </c>
      <c r="Y22" s="31" t="str">
        <f t="shared" si="6"/>
        <v/>
      </c>
      <c r="Z22" t="str">
        <f>IFERROR(VLOOKUP(A22,Unternehmen!$A:$D,4,FALSE()),"")</f>
        <v>Chemie</v>
      </c>
    </row>
    <row r="23" spans="1:26" ht="15" customHeight="1" x14ac:dyDescent="0.35">
      <c r="A23" s="23" t="s">
        <v>18</v>
      </c>
      <c r="B23" s="23">
        <v>2020</v>
      </c>
      <c r="C23" s="23" t="s">
        <v>155</v>
      </c>
      <c r="D23" s="23" t="s">
        <v>238</v>
      </c>
      <c r="E23" s="23">
        <v>136</v>
      </c>
      <c r="F23" s="23" t="s">
        <v>138</v>
      </c>
      <c r="G23" s="23" t="s">
        <v>220</v>
      </c>
      <c r="H23" s="23" t="s">
        <v>226</v>
      </c>
      <c r="I23" s="25">
        <v>4.2</v>
      </c>
      <c r="J23" s="25">
        <v>4.8</v>
      </c>
      <c r="K23" s="25">
        <v>4.5359999999999996</v>
      </c>
      <c r="L23" s="25">
        <v>3.56</v>
      </c>
      <c r="M23" s="25">
        <f t="shared" si="8"/>
        <v>-0.97599999999999953</v>
      </c>
      <c r="N23" s="25" t="s">
        <v>241</v>
      </c>
      <c r="O23" s="23" t="s">
        <v>240</v>
      </c>
      <c r="P23" s="23">
        <v>156</v>
      </c>
      <c r="Q23" s="26"/>
      <c r="R23" s="31">
        <f t="shared" si="0"/>
        <v>4.5</v>
      </c>
      <c r="S23" s="31">
        <f t="shared" si="1"/>
        <v>0.94</v>
      </c>
      <c r="T23" s="13">
        <f t="shared" si="2"/>
        <v>0.2640449438202247</v>
      </c>
      <c r="U23" s="13">
        <f t="shared" si="3"/>
        <v>0.2640449438202247</v>
      </c>
      <c r="V23" s="14">
        <f t="shared" si="4"/>
        <v>0</v>
      </c>
      <c r="W23" s="26"/>
      <c r="X23" t="str">
        <f t="shared" si="5"/>
        <v>unterhalb</v>
      </c>
      <c r="Y23" s="31" t="str">
        <f t="shared" si="6"/>
        <v/>
      </c>
      <c r="Z23" t="str">
        <f>IFERROR(VLOOKUP(A23,Unternehmen!$A:$D,4,FALSE()),"")</f>
        <v>Chemie</v>
      </c>
    </row>
    <row r="24" spans="1:26" ht="15" customHeight="1" x14ac:dyDescent="0.35">
      <c r="A24" s="23" t="s">
        <v>18</v>
      </c>
      <c r="B24" s="23">
        <v>2021</v>
      </c>
      <c r="C24" s="23" t="s">
        <v>15</v>
      </c>
      <c r="D24" s="23" t="s">
        <v>240</v>
      </c>
      <c r="E24" s="23">
        <v>155</v>
      </c>
      <c r="F24" s="23" t="s">
        <v>138</v>
      </c>
      <c r="G24" s="23" t="s">
        <v>220</v>
      </c>
      <c r="H24" s="23" t="s">
        <v>226</v>
      </c>
      <c r="I24" s="25">
        <v>61</v>
      </c>
      <c r="J24" s="25">
        <v>64</v>
      </c>
      <c r="K24" s="25">
        <f t="shared" ref="K24:K29" si="9">L22</f>
        <v>59.149000000000001</v>
      </c>
      <c r="L24" s="25">
        <v>78.597999999999999</v>
      </c>
      <c r="M24" s="25">
        <f t="shared" si="8"/>
        <v>19.448999999999998</v>
      </c>
      <c r="N24" s="29" t="s">
        <v>218</v>
      </c>
      <c r="O24" s="23" t="s">
        <v>242</v>
      </c>
      <c r="P24" s="23">
        <v>149</v>
      </c>
      <c r="Q24" s="26"/>
      <c r="R24" s="31">
        <f t="shared" si="0"/>
        <v>62.5</v>
      </c>
      <c r="S24" s="31">
        <f t="shared" si="1"/>
        <v>-16.097999999999999</v>
      </c>
      <c r="T24" s="13">
        <f t="shared" si="2"/>
        <v>-0.2048143718669686</v>
      </c>
      <c r="U24" s="13">
        <f t="shared" si="3"/>
        <v>0.2048143718669686</v>
      </c>
      <c r="V24" s="14">
        <f t="shared" si="4"/>
        <v>0</v>
      </c>
      <c r="W24" s="26"/>
      <c r="X24" t="str">
        <f t="shared" si="5"/>
        <v>oberhalb</v>
      </c>
      <c r="Y24" s="31" t="str">
        <f t="shared" si="6"/>
        <v/>
      </c>
      <c r="Z24" t="str">
        <f>IFERROR(VLOOKUP(A24,Unternehmen!$A:$D,4,FALSE()),"")</f>
        <v>Chemie</v>
      </c>
    </row>
    <row r="25" spans="1:26" ht="15" customHeight="1" x14ac:dyDescent="0.35">
      <c r="A25" s="23" t="s">
        <v>18</v>
      </c>
      <c r="B25" s="23">
        <v>2021</v>
      </c>
      <c r="C25" s="23" t="s">
        <v>155</v>
      </c>
      <c r="D25" s="23" t="s">
        <v>240</v>
      </c>
      <c r="E25" s="23">
        <v>155</v>
      </c>
      <c r="F25" s="23" t="s">
        <v>138</v>
      </c>
      <c r="G25" s="23" t="s">
        <v>220</v>
      </c>
      <c r="H25" s="23" t="s">
        <v>226</v>
      </c>
      <c r="I25" s="25">
        <v>4.0999999999999996</v>
      </c>
      <c r="J25" s="25">
        <v>5</v>
      </c>
      <c r="K25" s="25">
        <f t="shared" si="9"/>
        <v>3.56</v>
      </c>
      <c r="L25" s="25">
        <v>7.7679999999999998</v>
      </c>
      <c r="M25" s="25">
        <f t="shared" si="8"/>
        <v>4.2080000000000002</v>
      </c>
      <c r="N25" s="29" t="s">
        <v>218</v>
      </c>
      <c r="O25" s="23" t="s">
        <v>242</v>
      </c>
      <c r="P25" s="23">
        <v>149</v>
      </c>
      <c r="Q25" s="26"/>
      <c r="R25" s="31">
        <f t="shared" si="0"/>
        <v>4.55</v>
      </c>
      <c r="S25" s="31">
        <f t="shared" si="1"/>
        <v>-3.218</v>
      </c>
      <c r="T25" s="13">
        <f t="shared" si="2"/>
        <v>-0.41426364572605562</v>
      </c>
      <c r="U25" s="13">
        <f t="shared" si="3"/>
        <v>0.41426364572605562</v>
      </c>
      <c r="V25" s="14">
        <f t="shared" si="4"/>
        <v>0</v>
      </c>
      <c r="W25" s="26"/>
      <c r="X25" t="str">
        <f t="shared" si="5"/>
        <v>oberhalb</v>
      </c>
      <c r="Y25" s="31" t="str">
        <f t="shared" si="6"/>
        <v/>
      </c>
      <c r="Z25" t="str">
        <f>IFERROR(VLOOKUP(A25,Unternehmen!$A:$D,4,FALSE()),"")</f>
        <v>Chemie</v>
      </c>
    </row>
    <row r="26" spans="1:26" ht="15" customHeight="1" x14ac:dyDescent="0.35">
      <c r="A26" s="23" t="s">
        <v>18</v>
      </c>
      <c r="B26" s="23">
        <v>2022</v>
      </c>
      <c r="C26" s="23" t="s">
        <v>15</v>
      </c>
      <c r="D26" s="23" t="s">
        <v>242</v>
      </c>
      <c r="E26" s="23">
        <v>149</v>
      </c>
      <c r="F26" s="23" t="s">
        <v>138</v>
      </c>
      <c r="G26" s="23" t="s">
        <v>220</v>
      </c>
      <c r="H26" s="23" t="s">
        <v>226</v>
      </c>
      <c r="I26" s="25">
        <v>74</v>
      </c>
      <c r="J26" s="25">
        <v>77</v>
      </c>
      <c r="K26" s="25">
        <f t="shared" si="9"/>
        <v>78.597999999999999</v>
      </c>
      <c r="L26" s="25">
        <v>87.326999999999998</v>
      </c>
      <c r="M26" s="25">
        <f t="shared" si="8"/>
        <v>8.7289999999999992</v>
      </c>
      <c r="N26" s="29" t="s">
        <v>218</v>
      </c>
      <c r="O26" s="23" t="s">
        <v>243</v>
      </c>
      <c r="P26" s="23">
        <v>155</v>
      </c>
      <c r="Q26" s="26"/>
      <c r="R26" s="31">
        <f t="shared" si="0"/>
        <v>75.5</v>
      </c>
      <c r="S26" s="31">
        <f t="shared" si="1"/>
        <v>-11.826999999999998</v>
      </c>
      <c r="T26" s="13">
        <f t="shared" si="2"/>
        <v>-0.1354334856344544</v>
      </c>
      <c r="U26" s="13">
        <f t="shared" si="3"/>
        <v>0.1354334856344544</v>
      </c>
      <c r="V26" s="14">
        <f t="shared" si="4"/>
        <v>0</v>
      </c>
      <c r="W26" s="26"/>
      <c r="X26" t="str">
        <f t="shared" si="5"/>
        <v>oberhalb</v>
      </c>
      <c r="Y26" s="31" t="str">
        <f t="shared" si="6"/>
        <v/>
      </c>
      <c r="Z26" t="str">
        <f>IFERROR(VLOOKUP(A26,Unternehmen!$A:$D,4,FALSE()),"")</f>
        <v>Chemie</v>
      </c>
    </row>
    <row r="27" spans="1:26" ht="15" customHeight="1" x14ac:dyDescent="0.35">
      <c r="A27" s="23" t="s">
        <v>18</v>
      </c>
      <c r="B27" s="23">
        <v>2022</v>
      </c>
      <c r="C27" s="23" t="s">
        <v>155</v>
      </c>
      <c r="D27" s="23" t="s">
        <v>242</v>
      </c>
      <c r="E27" s="23">
        <v>149</v>
      </c>
      <c r="F27" s="23" t="s">
        <v>138</v>
      </c>
      <c r="G27" s="23" t="s">
        <v>220</v>
      </c>
      <c r="H27" s="23" t="s">
        <v>226</v>
      </c>
      <c r="I27" s="25">
        <v>6.6</v>
      </c>
      <c r="J27" s="25">
        <v>7.2</v>
      </c>
      <c r="K27" s="25">
        <f t="shared" si="9"/>
        <v>7.7679999999999998</v>
      </c>
      <c r="L27" s="25">
        <v>6.8780000000000001</v>
      </c>
      <c r="M27" s="25">
        <f t="shared" si="8"/>
        <v>-0.88999999999999968</v>
      </c>
      <c r="N27" s="28" t="s">
        <v>208</v>
      </c>
      <c r="O27" s="23" t="s">
        <v>243</v>
      </c>
      <c r="P27" s="23">
        <v>155</v>
      </c>
      <c r="Q27" s="26"/>
      <c r="R27" s="31">
        <f t="shared" si="0"/>
        <v>6.9</v>
      </c>
      <c r="S27" s="31">
        <f t="shared" si="1"/>
        <v>2.2000000000000242E-2</v>
      </c>
      <c r="T27" s="13">
        <f t="shared" si="2"/>
        <v>3.1986042454202153E-3</v>
      </c>
      <c r="U27" s="13">
        <f t="shared" si="3"/>
        <v>3.1986042454202153E-3</v>
      </c>
      <c r="V27" s="14">
        <f t="shared" si="4"/>
        <v>1</v>
      </c>
      <c r="W27" s="26"/>
      <c r="X27" t="str">
        <f t="shared" si="5"/>
        <v>innerhalb</v>
      </c>
      <c r="Y27" s="31" t="str">
        <f t="shared" si="6"/>
        <v/>
      </c>
      <c r="Z27" t="str">
        <f>IFERROR(VLOOKUP(A27,Unternehmen!$A:$D,4,FALSE()),"")</f>
        <v>Chemie</v>
      </c>
    </row>
    <row r="28" spans="1:26" ht="15" customHeight="1" x14ac:dyDescent="0.35">
      <c r="A28" s="23" t="s">
        <v>18</v>
      </c>
      <c r="B28" s="23">
        <v>2023</v>
      </c>
      <c r="C28" s="23" t="s">
        <v>15</v>
      </c>
      <c r="D28" s="23" t="s">
        <v>243</v>
      </c>
      <c r="E28" s="23">
        <v>155</v>
      </c>
      <c r="F28" s="23" t="s">
        <v>138</v>
      </c>
      <c r="G28" s="23" t="s">
        <v>220</v>
      </c>
      <c r="H28" s="23" t="s">
        <v>226</v>
      </c>
      <c r="I28" s="25">
        <v>84</v>
      </c>
      <c r="J28" s="25">
        <v>87</v>
      </c>
      <c r="K28" s="25">
        <f t="shared" si="9"/>
        <v>87.326999999999998</v>
      </c>
      <c r="L28" s="25">
        <v>68.902000000000001</v>
      </c>
      <c r="M28" s="25">
        <f t="shared" si="8"/>
        <v>-18.424999999999997</v>
      </c>
      <c r="N28" s="25" t="s">
        <v>244</v>
      </c>
      <c r="O28" s="23" t="s">
        <v>245</v>
      </c>
      <c r="P28" s="23">
        <v>250</v>
      </c>
      <c r="Q28" s="26"/>
      <c r="R28" s="31">
        <f t="shared" si="0"/>
        <v>85.5</v>
      </c>
      <c r="S28" s="31">
        <f t="shared" si="1"/>
        <v>16.597999999999999</v>
      </c>
      <c r="T28" s="13">
        <f t="shared" si="2"/>
        <v>0.24089286232620241</v>
      </c>
      <c r="U28" s="13">
        <f t="shared" si="3"/>
        <v>0.24089286232620241</v>
      </c>
      <c r="V28" s="14">
        <f t="shared" si="4"/>
        <v>0</v>
      </c>
      <c r="W28" s="26"/>
      <c r="X28" t="str">
        <f t="shared" si="5"/>
        <v>unterhalb</v>
      </c>
      <c r="Y28" s="31" t="str">
        <f t="shared" si="6"/>
        <v/>
      </c>
      <c r="Z28" t="str">
        <f>IFERROR(VLOOKUP(A28,Unternehmen!$A:$D,4,FALSE()),"")</f>
        <v>Chemie</v>
      </c>
    </row>
    <row r="29" spans="1:26" ht="15" customHeight="1" x14ac:dyDescent="0.35">
      <c r="A29" s="23" t="s">
        <v>18</v>
      </c>
      <c r="B29" s="23">
        <v>2023</v>
      </c>
      <c r="C29" s="23" t="s">
        <v>155</v>
      </c>
      <c r="D29" s="23" t="s">
        <v>243</v>
      </c>
      <c r="E29" s="23">
        <v>155</v>
      </c>
      <c r="F29" s="23" t="s">
        <v>138</v>
      </c>
      <c r="G29" s="23" t="s">
        <v>220</v>
      </c>
      <c r="H29" s="23" t="s">
        <v>226</v>
      </c>
      <c r="I29" s="25">
        <v>4.8</v>
      </c>
      <c r="J29" s="25">
        <v>5.4</v>
      </c>
      <c r="K29" s="25">
        <f t="shared" si="9"/>
        <v>6.8780000000000001</v>
      </c>
      <c r="L29" s="25">
        <v>3.806</v>
      </c>
      <c r="M29" s="25">
        <f t="shared" si="8"/>
        <v>-3.0720000000000001</v>
      </c>
      <c r="N29" s="25" t="s">
        <v>246</v>
      </c>
      <c r="O29" s="23" t="s">
        <v>245</v>
      </c>
      <c r="P29" s="23">
        <v>244</v>
      </c>
      <c r="Q29" s="26"/>
      <c r="R29" s="31">
        <f t="shared" si="0"/>
        <v>5.0999999999999996</v>
      </c>
      <c r="S29" s="31">
        <f t="shared" si="1"/>
        <v>1.2939999999999996</v>
      </c>
      <c r="T29" s="13">
        <f t="shared" si="2"/>
        <v>0.3399894902785075</v>
      </c>
      <c r="U29" s="13">
        <f t="shared" si="3"/>
        <v>0.3399894902785075</v>
      </c>
      <c r="V29" s="14">
        <f t="shared" si="4"/>
        <v>0</v>
      </c>
      <c r="W29" s="26"/>
      <c r="X29" t="str">
        <f t="shared" si="5"/>
        <v>unterhalb</v>
      </c>
      <c r="Y29" s="31" t="str">
        <f t="shared" si="6"/>
        <v/>
      </c>
      <c r="Z29" t="str">
        <f>IFERROR(VLOOKUP(A29,Unternehmen!$A:$D,4,FALSE()),"")</f>
        <v>Chemie</v>
      </c>
    </row>
    <row r="30" spans="1:26" ht="15" customHeight="1" x14ac:dyDescent="0.35">
      <c r="A30" s="23" t="s">
        <v>18</v>
      </c>
      <c r="B30" s="23">
        <v>2024</v>
      </c>
      <c r="C30" s="23" t="s">
        <v>15</v>
      </c>
      <c r="D30" s="23" t="s">
        <v>245</v>
      </c>
      <c r="E30" s="35"/>
      <c r="F30" s="35" t="s">
        <v>134</v>
      </c>
      <c r="G30" s="35"/>
      <c r="H30" s="35"/>
      <c r="I30" s="30"/>
      <c r="J30" s="30"/>
      <c r="K30" s="30"/>
      <c r="L30" s="30"/>
      <c r="M30" s="30"/>
      <c r="N30" s="35"/>
      <c r="O30" s="35"/>
      <c r="P30" s="35"/>
      <c r="Q30" s="26" t="s">
        <v>247</v>
      </c>
      <c r="R30" s="31" t="str">
        <f t="shared" si="0"/>
        <v/>
      </c>
      <c r="S30" s="31" t="str">
        <f t="shared" si="1"/>
        <v/>
      </c>
      <c r="T30" s="13" t="str">
        <f t="shared" si="2"/>
        <v/>
      </c>
      <c r="U30" s="13" t="str">
        <f t="shared" si="3"/>
        <v/>
      </c>
      <c r="V30" s="14" t="str">
        <f t="shared" si="4"/>
        <v/>
      </c>
      <c r="W30" s="26"/>
      <c r="X30" t="str">
        <f t="shared" si="5"/>
        <v>nicht auswertbar</v>
      </c>
      <c r="Y30" s="31" t="str">
        <f t="shared" si="6"/>
        <v/>
      </c>
      <c r="Z30" t="str">
        <f>IFERROR(VLOOKUP(A30,Unternehmen!$A:$D,4,FALSE()),"")</f>
        <v>Chemie</v>
      </c>
    </row>
    <row r="31" spans="1:26" ht="15" customHeight="1" x14ac:dyDescent="0.35">
      <c r="A31" s="23" t="s">
        <v>18</v>
      </c>
      <c r="B31" s="23">
        <v>2024</v>
      </c>
      <c r="C31" s="23" t="s">
        <v>155</v>
      </c>
      <c r="D31" s="23" t="s">
        <v>245</v>
      </c>
      <c r="E31" s="23">
        <v>170</v>
      </c>
      <c r="F31" s="23" t="s">
        <v>138</v>
      </c>
      <c r="G31" s="23" t="s">
        <v>220</v>
      </c>
      <c r="H31" s="23" t="s">
        <v>226</v>
      </c>
      <c r="I31" s="25">
        <v>8</v>
      </c>
      <c r="J31" s="25">
        <v>8.6</v>
      </c>
      <c r="K31" s="30"/>
      <c r="L31" s="25">
        <v>7.8579999999999997</v>
      </c>
      <c r="M31" s="30"/>
      <c r="N31" s="25" t="s">
        <v>248</v>
      </c>
      <c r="O31" s="23" t="s">
        <v>249</v>
      </c>
      <c r="P31" s="23">
        <v>82</v>
      </c>
      <c r="Q31" s="26" t="s">
        <v>250</v>
      </c>
      <c r="R31" s="31">
        <f t="shared" si="0"/>
        <v>8.3000000000000007</v>
      </c>
      <c r="S31" s="31">
        <f t="shared" si="1"/>
        <v>0.44200000000000106</v>
      </c>
      <c r="T31" s="13">
        <f t="shared" si="2"/>
        <v>5.6248409264444015E-2</v>
      </c>
      <c r="U31" s="13">
        <f t="shared" si="3"/>
        <v>5.6248409264444015E-2</v>
      </c>
      <c r="V31" s="14">
        <f t="shared" si="4"/>
        <v>0</v>
      </c>
      <c r="W31" s="26"/>
      <c r="X31" t="str">
        <f t="shared" si="5"/>
        <v>unterhalb</v>
      </c>
      <c r="Y31" s="31" t="str">
        <f t="shared" si="6"/>
        <v/>
      </c>
      <c r="Z31" t="str">
        <f>IFERROR(VLOOKUP(A31,Unternehmen!$A:$D,4,FALSE()),"")</f>
        <v>Chemie</v>
      </c>
    </row>
    <row r="32" spans="1:26" ht="15" customHeight="1" x14ac:dyDescent="0.35">
      <c r="A32" s="23" t="s">
        <v>22</v>
      </c>
      <c r="B32" s="23">
        <v>2020</v>
      </c>
      <c r="C32" s="23" t="s">
        <v>15</v>
      </c>
      <c r="D32" s="23" t="s">
        <v>251</v>
      </c>
      <c r="E32" s="23">
        <v>87</v>
      </c>
      <c r="F32" s="23" t="s">
        <v>138</v>
      </c>
      <c r="G32" s="23" t="s">
        <v>220</v>
      </c>
      <c r="H32" s="23" t="s">
        <v>226</v>
      </c>
      <c r="I32" s="25">
        <v>44</v>
      </c>
      <c r="J32" s="25">
        <v>45</v>
      </c>
      <c r="K32" s="25">
        <v>43.545000000000002</v>
      </c>
      <c r="L32" s="25">
        <v>41.4</v>
      </c>
      <c r="M32" s="25">
        <f>L32-K32</f>
        <v>-2.1450000000000031</v>
      </c>
      <c r="N32" s="25" t="s">
        <v>252</v>
      </c>
      <c r="O32" s="23" t="s">
        <v>253</v>
      </c>
      <c r="P32" s="23">
        <v>2</v>
      </c>
      <c r="Q32" s="26"/>
      <c r="R32" s="31">
        <f t="shared" si="0"/>
        <v>44.5</v>
      </c>
      <c r="S32" s="31">
        <f t="shared" si="1"/>
        <v>3.1000000000000014</v>
      </c>
      <c r="T32" s="13">
        <f t="shared" si="2"/>
        <v>7.4879227053140138E-2</v>
      </c>
      <c r="U32" s="13">
        <f t="shared" si="3"/>
        <v>7.4879227053140138E-2</v>
      </c>
      <c r="V32" s="14">
        <f t="shared" si="4"/>
        <v>0</v>
      </c>
      <c r="W32" s="26"/>
      <c r="X32" t="str">
        <f t="shared" si="5"/>
        <v>unterhalb</v>
      </c>
      <c r="Y32" s="31" t="str">
        <f t="shared" si="6"/>
        <v/>
      </c>
      <c r="Z32" t="str">
        <f>IFERROR(VLOOKUP(A32,Unternehmen!$A:$D,4,FALSE()),"")</f>
        <v>Pharma &amp; Healthcare</v>
      </c>
    </row>
    <row r="33" spans="1:26" ht="15" customHeight="1" x14ac:dyDescent="0.35">
      <c r="A33" s="23" t="s">
        <v>22</v>
      </c>
      <c r="B33" s="23">
        <v>2020</v>
      </c>
      <c r="C33" s="23" t="s">
        <v>155</v>
      </c>
      <c r="D33" s="23" t="s">
        <v>251</v>
      </c>
      <c r="E33" s="23">
        <v>87</v>
      </c>
      <c r="F33" s="23" t="s">
        <v>138</v>
      </c>
      <c r="G33" s="23" t="s">
        <v>220</v>
      </c>
      <c r="H33" s="23" t="s">
        <v>226</v>
      </c>
      <c r="I33" s="25">
        <v>12.3</v>
      </c>
      <c r="J33" s="25">
        <v>12.6</v>
      </c>
      <c r="K33" s="25">
        <v>11.474</v>
      </c>
      <c r="L33" s="25">
        <v>11.461</v>
      </c>
      <c r="M33" s="25">
        <f>L33-K33</f>
        <v>-1.2999999999999901E-2</v>
      </c>
      <c r="N33" s="25" t="s">
        <v>254</v>
      </c>
      <c r="O33" s="23" t="s">
        <v>253</v>
      </c>
      <c r="P33" s="23">
        <v>2</v>
      </c>
      <c r="Q33" s="26"/>
      <c r="R33" s="31">
        <f t="shared" si="0"/>
        <v>12.45</v>
      </c>
      <c r="S33" s="31">
        <f t="shared" si="1"/>
        <v>0.98899999999999899</v>
      </c>
      <c r="T33" s="13">
        <f t="shared" si="2"/>
        <v>8.6292644620888134E-2</v>
      </c>
      <c r="U33" s="13">
        <f t="shared" si="3"/>
        <v>8.6292644620888134E-2</v>
      </c>
      <c r="V33" s="14">
        <f t="shared" si="4"/>
        <v>0</v>
      </c>
      <c r="W33" s="26"/>
      <c r="X33" t="str">
        <f t="shared" si="5"/>
        <v>unterhalb</v>
      </c>
      <c r="Y33" s="31" t="str">
        <f t="shared" si="6"/>
        <v/>
      </c>
      <c r="Z33" t="str">
        <f>IFERROR(VLOOKUP(A33,Unternehmen!$A:$D,4,FALSE()),"")</f>
        <v>Pharma &amp; Healthcare</v>
      </c>
    </row>
    <row r="34" spans="1:26" ht="15" customHeight="1" x14ac:dyDescent="0.35">
      <c r="A34" s="23" t="s">
        <v>22</v>
      </c>
      <c r="B34" s="23">
        <v>2021</v>
      </c>
      <c r="C34" s="23" t="s">
        <v>15</v>
      </c>
      <c r="D34" s="23" t="s">
        <v>253</v>
      </c>
      <c r="E34" s="23">
        <v>101</v>
      </c>
      <c r="F34" s="23" t="s">
        <v>138</v>
      </c>
      <c r="G34" s="23" t="s">
        <v>220</v>
      </c>
      <c r="H34" s="23" t="s">
        <v>226</v>
      </c>
      <c r="I34" s="25">
        <v>42</v>
      </c>
      <c r="J34" s="25">
        <v>43</v>
      </c>
      <c r="K34" s="25">
        <f>L32</f>
        <v>41.4</v>
      </c>
      <c r="L34" s="25">
        <v>44.081000000000003</v>
      </c>
      <c r="M34" s="25">
        <f>L34-K34</f>
        <v>2.6810000000000045</v>
      </c>
      <c r="N34" s="29" t="s">
        <v>218</v>
      </c>
      <c r="O34" s="23" t="s">
        <v>255</v>
      </c>
      <c r="P34" s="23">
        <v>2</v>
      </c>
      <c r="Q34" s="26"/>
      <c r="R34" s="31">
        <f t="shared" si="0"/>
        <v>42.5</v>
      </c>
      <c r="S34" s="31">
        <f t="shared" si="1"/>
        <v>-1.5810000000000031</v>
      </c>
      <c r="T34" s="13">
        <f t="shared" si="2"/>
        <v>-3.5865792518318618E-2</v>
      </c>
      <c r="U34" s="13">
        <f t="shared" si="3"/>
        <v>3.5865792518318618E-2</v>
      </c>
      <c r="V34" s="14">
        <f t="shared" si="4"/>
        <v>0</v>
      </c>
      <c r="W34" s="26"/>
      <c r="X34" t="str">
        <f t="shared" si="5"/>
        <v>oberhalb</v>
      </c>
      <c r="Y34" s="31" t="str">
        <f t="shared" si="6"/>
        <v/>
      </c>
      <c r="Z34" t="str">
        <f>IFERROR(VLOOKUP(A34,Unternehmen!$A:$D,4,FALSE()),"")</f>
        <v>Pharma &amp; Healthcare</v>
      </c>
    </row>
    <row r="35" spans="1:26" ht="15" customHeight="1" x14ac:dyDescent="0.35">
      <c r="A35" s="23" t="s">
        <v>22</v>
      </c>
      <c r="B35" s="23">
        <v>2021</v>
      </c>
      <c r="C35" s="23" t="s">
        <v>155</v>
      </c>
      <c r="D35" s="23" t="s">
        <v>253</v>
      </c>
      <c r="E35" s="23">
        <v>101</v>
      </c>
      <c r="F35" s="23" t="s">
        <v>139</v>
      </c>
      <c r="G35" s="23" t="s">
        <v>203</v>
      </c>
      <c r="H35" s="23" t="s">
        <v>204</v>
      </c>
      <c r="I35" s="24">
        <v>0.27</v>
      </c>
      <c r="J35" s="24">
        <v>0.27</v>
      </c>
      <c r="K35" s="24">
        <v>0.27700000000000002</v>
      </c>
      <c r="L35" s="24">
        <v>0.254</v>
      </c>
      <c r="M35" s="24" t="s">
        <v>256</v>
      </c>
      <c r="N35" s="25" t="s">
        <v>257</v>
      </c>
      <c r="O35" s="23" t="s">
        <v>255</v>
      </c>
      <c r="P35" s="23">
        <v>2</v>
      </c>
      <c r="Q35" s="26"/>
      <c r="R35" s="13">
        <f t="shared" si="0"/>
        <v>0.27</v>
      </c>
      <c r="S35" s="13">
        <f t="shared" si="1"/>
        <v>1.6000000000000014E-2</v>
      </c>
      <c r="T35" s="13" t="str">
        <f t="shared" si="2"/>
        <v/>
      </c>
      <c r="U35" s="13" t="str">
        <f t="shared" si="3"/>
        <v/>
      </c>
      <c r="V35" s="14" t="str">
        <f t="shared" si="4"/>
        <v/>
      </c>
      <c r="W35" s="26"/>
      <c r="X35" t="str">
        <f t="shared" si="5"/>
        <v>Punktprognose</v>
      </c>
      <c r="Y35" s="13">
        <f t="shared" si="6"/>
        <v>1.6000000000000014E-2</v>
      </c>
      <c r="Z35" t="str">
        <f>IFERROR(VLOOKUP(A35,Unternehmen!$A:$D,4,FALSE()),"")</f>
        <v>Pharma &amp; Healthcare</v>
      </c>
    </row>
    <row r="36" spans="1:26" ht="15" customHeight="1" x14ac:dyDescent="0.35">
      <c r="A36" s="23" t="s">
        <v>22</v>
      </c>
      <c r="B36" s="23">
        <v>2022</v>
      </c>
      <c r="C36" s="23" t="s">
        <v>15</v>
      </c>
      <c r="D36" s="23" t="s">
        <v>255</v>
      </c>
      <c r="E36" s="23">
        <v>99</v>
      </c>
      <c r="F36" s="23" t="s">
        <v>139</v>
      </c>
      <c r="G36" s="23" t="s">
        <v>220</v>
      </c>
      <c r="H36" s="23" t="s">
        <v>226</v>
      </c>
      <c r="I36" s="25">
        <v>46</v>
      </c>
      <c r="J36" s="25">
        <v>46</v>
      </c>
      <c r="K36" s="25">
        <f>L34</f>
        <v>44.081000000000003</v>
      </c>
      <c r="L36" s="25">
        <v>50.738999999999997</v>
      </c>
      <c r="M36" s="25">
        <f>L36-K36</f>
        <v>6.6579999999999941</v>
      </c>
      <c r="N36" s="29" t="s">
        <v>218</v>
      </c>
      <c r="O36" s="23" t="s">
        <v>258</v>
      </c>
      <c r="P36" s="23">
        <v>2</v>
      </c>
      <c r="Q36" s="26"/>
      <c r="R36" s="31">
        <f t="shared" si="0"/>
        <v>46</v>
      </c>
      <c r="S36" s="31">
        <f t="shared" si="1"/>
        <v>-4.7389999999999972</v>
      </c>
      <c r="T36" s="13">
        <f t="shared" si="2"/>
        <v>-9.3399554583259381E-2</v>
      </c>
      <c r="U36" s="13">
        <f t="shared" si="3"/>
        <v>9.3399554583259381E-2</v>
      </c>
      <c r="V36" s="14" t="str">
        <f t="shared" si="4"/>
        <v/>
      </c>
      <c r="W36" s="26"/>
      <c r="X36" t="str">
        <f t="shared" si="5"/>
        <v>Punktprognose</v>
      </c>
      <c r="Y36" s="31" t="str">
        <f t="shared" si="6"/>
        <v/>
      </c>
      <c r="Z36" t="str">
        <f>IFERROR(VLOOKUP(A36,Unternehmen!$A:$D,4,FALSE()),"")</f>
        <v>Pharma &amp; Healthcare</v>
      </c>
    </row>
    <row r="37" spans="1:26" ht="15" customHeight="1" x14ac:dyDescent="0.35">
      <c r="A37" s="23" t="s">
        <v>22</v>
      </c>
      <c r="B37" s="23">
        <v>2022</v>
      </c>
      <c r="C37" s="23" t="s">
        <v>155</v>
      </c>
      <c r="D37" s="23" t="s">
        <v>255</v>
      </c>
      <c r="E37" s="23">
        <v>99</v>
      </c>
      <c r="F37" s="23" t="s">
        <v>139</v>
      </c>
      <c r="G37" s="23" t="s">
        <v>203</v>
      </c>
      <c r="H37" s="23" t="s">
        <v>204</v>
      </c>
      <c r="I37" s="24">
        <v>0.26</v>
      </c>
      <c r="J37" s="24">
        <v>0.26</v>
      </c>
      <c r="K37" s="24">
        <f>L35</f>
        <v>0.254</v>
      </c>
      <c r="L37" s="24">
        <v>0.26600000000000001</v>
      </c>
      <c r="M37" s="24" t="s">
        <v>259</v>
      </c>
      <c r="N37" s="29" t="s">
        <v>218</v>
      </c>
      <c r="O37" s="23" t="s">
        <v>258</v>
      </c>
      <c r="P37" s="23">
        <v>2</v>
      </c>
      <c r="Q37" s="26"/>
      <c r="R37" s="13">
        <f t="shared" si="0"/>
        <v>0.26</v>
      </c>
      <c r="S37" s="13">
        <f t="shared" si="1"/>
        <v>-6.0000000000000053E-3</v>
      </c>
      <c r="T37" s="13" t="str">
        <f t="shared" si="2"/>
        <v/>
      </c>
      <c r="U37" s="13" t="str">
        <f t="shared" si="3"/>
        <v/>
      </c>
      <c r="V37" s="14" t="str">
        <f t="shared" si="4"/>
        <v/>
      </c>
      <c r="W37" s="26"/>
      <c r="X37" t="str">
        <f t="shared" si="5"/>
        <v>Punktprognose</v>
      </c>
      <c r="Y37" s="13">
        <f t="shared" si="6"/>
        <v>6.0000000000000053E-3</v>
      </c>
      <c r="Z37" t="str">
        <f>IFERROR(VLOOKUP(A37,Unternehmen!$A:$D,4,FALSE()),"")</f>
        <v>Pharma &amp; Healthcare</v>
      </c>
    </row>
    <row r="38" spans="1:26" ht="15" customHeight="1" x14ac:dyDescent="0.35">
      <c r="A38" s="23" t="s">
        <v>22</v>
      </c>
      <c r="B38" s="23">
        <v>2023</v>
      </c>
      <c r="C38" s="23" t="s">
        <v>15</v>
      </c>
      <c r="D38" s="23" t="s">
        <v>258</v>
      </c>
      <c r="E38" s="23">
        <v>112</v>
      </c>
      <c r="F38" s="23" t="s">
        <v>138</v>
      </c>
      <c r="G38" s="23" t="s">
        <v>220</v>
      </c>
      <c r="H38" s="23" t="s">
        <v>226</v>
      </c>
      <c r="I38" s="25">
        <v>50</v>
      </c>
      <c r="J38" s="25">
        <v>51</v>
      </c>
      <c r="K38" s="25">
        <f>L36</f>
        <v>50.738999999999997</v>
      </c>
      <c r="L38" s="25">
        <v>47.637</v>
      </c>
      <c r="M38" s="25">
        <f>L38-K38</f>
        <v>-3.1019999999999968</v>
      </c>
      <c r="N38" s="25" t="s">
        <v>260</v>
      </c>
      <c r="O38" s="23" t="s">
        <v>261</v>
      </c>
      <c r="P38" s="23">
        <v>2</v>
      </c>
      <c r="Q38" s="26"/>
      <c r="R38" s="31">
        <f t="shared" si="0"/>
        <v>50.5</v>
      </c>
      <c r="S38" s="31">
        <f t="shared" si="1"/>
        <v>2.8629999999999995</v>
      </c>
      <c r="T38" s="13">
        <f t="shared" si="2"/>
        <v>6.010034217100152E-2</v>
      </c>
      <c r="U38" s="13">
        <f t="shared" si="3"/>
        <v>6.010034217100152E-2</v>
      </c>
      <c r="V38" s="14">
        <f t="shared" si="4"/>
        <v>0</v>
      </c>
      <c r="W38" s="26"/>
      <c r="X38" t="str">
        <f t="shared" si="5"/>
        <v>unterhalb</v>
      </c>
      <c r="Y38" s="31" t="str">
        <f t="shared" si="6"/>
        <v/>
      </c>
      <c r="Z38" t="str">
        <f>IFERROR(VLOOKUP(A38,Unternehmen!$A:$D,4,FALSE()),"")</f>
        <v>Pharma &amp; Healthcare</v>
      </c>
    </row>
    <row r="39" spans="1:26" ht="15" customHeight="1" x14ac:dyDescent="0.35">
      <c r="A39" s="23" t="s">
        <v>22</v>
      </c>
      <c r="B39" s="23">
        <v>2023</v>
      </c>
      <c r="C39" s="23" t="s">
        <v>155</v>
      </c>
      <c r="D39" s="23" t="s">
        <v>258</v>
      </c>
      <c r="E39" s="23">
        <v>112</v>
      </c>
      <c r="F39" s="23" t="s">
        <v>138</v>
      </c>
      <c r="G39" s="23" t="s">
        <v>220</v>
      </c>
      <c r="H39" s="23" t="s">
        <v>226</v>
      </c>
      <c r="I39" s="25">
        <v>12.5</v>
      </c>
      <c r="J39" s="25">
        <v>13</v>
      </c>
      <c r="K39" s="25">
        <v>13.5</v>
      </c>
      <c r="L39" s="25">
        <v>11.706</v>
      </c>
      <c r="M39" s="25">
        <f>L39-K39</f>
        <v>-1.7940000000000005</v>
      </c>
      <c r="N39" s="25" t="s">
        <v>262</v>
      </c>
      <c r="O39" s="23" t="s">
        <v>261</v>
      </c>
      <c r="P39" s="23">
        <v>2</v>
      </c>
      <c r="Q39" s="26"/>
      <c r="R39" s="31">
        <f t="shared" si="0"/>
        <v>12.75</v>
      </c>
      <c r="S39" s="31">
        <f t="shared" si="1"/>
        <v>1.0440000000000005</v>
      </c>
      <c r="T39" s="13">
        <f t="shared" si="2"/>
        <v>8.9185033316248122E-2</v>
      </c>
      <c r="U39" s="13">
        <f t="shared" si="3"/>
        <v>8.9185033316248122E-2</v>
      </c>
      <c r="V39" s="14">
        <f t="shared" si="4"/>
        <v>0</v>
      </c>
      <c r="W39" s="26"/>
      <c r="X39" t="str">
        <f t="shared" si="5"/>
        <v>unterhalb</v>
      </c>
      <c r="Y39" s="31" t="str">
        <f t="shared" si="6"/>
        <v/>
      </c>
      <c r="Z39" t="str">
        <f>IFERROR(VLOOKUP(A39,Unternehmen!$A:$D,4,FALSE()),"")</f>
        <v>Pharma &amp; Healthcare</v>
      </c>
    </row>
    <row r="40" spans="1:26" ht="15" customHeight="1" x14ac:dyDescent="0.35">
      <c r="A40" s="23" t="s">
        <v>22</v>
      </c>
      <c r="B40" s="23">
        <v>2024</v>
      </c>
      <c r="C40" s="23" t="s">
        <v>15</v>
      </c>
      <c r="D40" s="23" t="s">
        <v>261</v>
      </c>
      <c r="E40" s="23">
        <v>101</v>
      </c>
      <c r="F40" s="23" t="s">
        <v>138</v>
      </c>
      <c r="G40" s="23" t="s">
        <v>220</v>
      </c>
      <c r="H40" s="23" t="s">
        <v>226</v>
      </c>
      <c r="I40" s="25">
        <v>46</v>
      </c>
      <c r="J40" s="25">
        <v>48</v>
      </c>
      <c r="K40" s="25">
        <f>L38</f>
        <v>47.637</v>
      </c>
      <c r="L40" s="25">
        <v>46.606000000000002</v>
      </c>
      <c r="M40" s="25">
        <f>L40-K40</f>
        <v>-1.0309999999999988</v>
      </c>
      <c r="N40" s="28" t="s">
        <v>208</v>
      </c>
      <c r="O40" s="23" t="s">
        <v>263</v>
      </c>
      <c r="P40" s="23">
        <v>2</v>
      </c>
      <c r="Q40" s="26"/>
      <c r="R40" s="31">
        <f t="shared" si="0"/>
        <v>47</v>
      </c>
      <c r="S40" s="31">
        <f t="shared" si="1"/>
        <v>0.39399999999999835</v>
      </c>
      <c r="T40" s="13">
        <f t="shared" si="2"/>
        <v>8.4538471441444954E-3</v>
      </c>
      <c r="U40" s="13">
        <f t="shared" si="3"/>
        <v>8.4538471441444954E-3</v>
      </c>
      <c r="V40" s="14">
        <f t="shared" si="4"/>
        <v>1</v>
      </c>
      <c r="W40" s="26"/>
      <c r="X40" t="str">
        <f t="shared" si="5"/>
        <v>innerhalb</v>
      </c>
      <c r="Y40" s="31" t="str">
        <f t="shared" si="6"/>
        <v/>
      </c>
      <c r="Z40" t="str">
        <f>IFERROR(VLOOKUP(A40,Unternehmen!$A:$D,4,FALSE()),"")</f>
        <v>Pharma &amp; Healthcare</v>
      </c>
    </row>
    <row r="41" spans="1:26" ht="15" customHeight="1" x14ac:dyDescent="0.35">
      <c r="A41" s="23" t="s">
        <v>22</v>
      </c>
      <c r="B41" s="23">
        <v>2024</v>
      </c>
      <c r="C41" s="23" t="s">
        <v>155</v>
      </c>
      <c r="D41" s="23" t="s">
        <v>261</v>
      </c>
      <c r="E41" s="23">
        <v>101</v>
      </c>
      <c r="F41" s="23" t="s">
        <v>138</v>
      </c>
      <c r="G41" s="23" t="s">
        <v>220</v>
      </c>
      <c r="H41" s="23" t="s">
        <v>226</v>
      </c>
      <c r="I41" s="25">
        <v>10.4</v>
      </c>
      <c r="J41" s="25">
        <v>11</v>
      </c>
      <c r="K41" s="25">
        <f>L39</f>
        <v>11.706</v>
      </c>
      <c r="L41" s="25">
        <v>10.122999999999999</v>
      </c>
      <c r="M41" s="25">
        <f>L41-K41</f>
        <v>-1.5830000000000002</v>
      </c>
      <c r="N41" s="25" t="s">
        <v>264</v>
      </c>
      <c r="O41" s="23" t="s">
        <v>263</v>
      </c>
      <c r="P41" s="23">
        <v>2</v>
      </c>
      <c r="Q41" s="26"/>
      <c r="R41" s="31">
        <f t="shared" si="0"/>
        <v>10.7</v>
      </c>
      <c r="S41" s="31">
        <f t="shared" si="1"/>
        <v>0.57699999999999996</v>
      </c>
      <c r="T41" s="13">
        <f t="shared" si="2"/>
        <v>5.6998913365603081E-2</v>
      </c>
      <c r="U41" s="13">
        <f t="shared" si="3"/>
        <v>5.6998913365603081E-2</v>
      </c>
      <c r="V41" s="14">
        <f t="shared" si="4"/>
        <v>0</v>
      </c>
      <c r="W41" s="26"/>
      <c r="X41" t="str">
        <f t="shared" si="5"/>
        <v>unterhalb</v>
      </c>
      <c r="Y41" s="31" t="str">
        <f t="shared" si="6"/>
        <v/>
      </c>
      <c r="Z41" t="str">
        <f>IFERROR(VLOOKUP(A41,Unternehmen!$A:$D,4,FALSE()),"")</f>
        <v>Pharma &amp; Healthcare</v>
      </c>
    </row>
    <row r="42" spans="1:26" ht="15" customHeight="1" x14ac:dyDescent="0.35">
      <c r="A42" s="23" t="s">
        <v>27</v>
      </c>
      <c r="B42" s="23">
        <v>2020</v>
      </c>
      <c r="C42" s="23" t="s">
        <v>15</v>
      </c>
      <c r="D42" s="23">
        <v>2019</v>
      </c>
      <c r="E42" s="23">
        <v>60</v>
      </c>
      <c r="F42" s="23" t="s">
        <v>137</v>
      </c>
      <c r="G42" s="23" t="s">
        <v>199</v>
      </c>
      <c r="H42" s="23" t="s">
        <v>200</v>
      </c>
      <c r="I42" s="24">
        <v>0.03</v>
      </c>
      <c r="J42" s="24">
        <v>0.05</v>
      </c>
      <c r="K42" s="24">
        <v>4.1000000000000002E-2</v>
      </c>
      <c r="L42" s="24">
        <v>-5.7000000000000002E-2</v>
      </c>
      <c r="M42" s="24" t="s">
        <v>265</v>
      </c>
      <c r="N42" s="25" t="s">
        <v>266</v>
      </c>
      <c r="O42" s="23">
        <v>2020</v>
      </c>
      <c r="P42" s="23" t="s">
        <v>267</v>
      </c>
      <c r="Q42" s="26"/>
      <c r="R42" s="13">
        <f t="shared" si="0"/>
        <v>0.04</v>
      </c>
      <c r="S42" s="13">
        <f t="shared" si="1"/>
        <v>9.7000000000000003E-2</v>
      </c>
      <c r="T42" s="13" t="str">
        <f t="shared" si="2"/>
        <v/>
      </c>
      <c r="U42" s="13" t="str">
        <f t="shared" si="3"/>
        <v/>
      </c>
      <c r="V42" s="14">
        <f t="shared" si="4"/>
        <v>0</v>
      </c>
      <c r="W42" s="26"/>
      <c r="X42" t="str">
        <f t="shared" si="5"/>
        <v>unterhalb</v>
      </c>
      <c r="Y42" s="13">
        <f t="shared" si="6"/>
        <v>9.7000000000000003E-2</v>
      </c>
      <c r="Z42" t="str">
        <f>IFERROR(VLOOKUP(A42,Unternehmen!$A:$D,4,FALSE()),"")</f>
        <v>Konsumgueter</v>
      </c>
    </row>
    <row r="43" spans="1:26" ht="15" customHeight="1" x14ac:dyDescent="0.35">
      <c r="A43" s="23" t="s">
        <v>27</v>
      </c>
      <c r="B43" s="23">
        <v>2020</v>
      </c>
      <c r="C43" s="23" t="s">
        <v>155</v>
      </c>
      <c r="D43" s="23">
        <v>2019</v>
      </c>
      <c r="E43" s="23">
        <v>60</v>
      </c>
      <c r="F43" s="23" t="s">
        <v>137</v>
      </c>
      <c r="G43" s="23" t="s">
        <v>203</v>
      </c>
      <c r="H43" s="23" t="s">
        <v>204</v>
      </c>
      <c r="I43" s="24">
        <v>0.14000000000000001</v>
      </c>
      <c r="J43" s="24">
        <v>0.14499999999999999</v>
      </c>
      <c r="K43" s="24">
        <v>0.13500000000000001</v>
      </c>
      <c r="L43" s="24">
        <v>0.11799999999999999</v>
      </c>
      <c r="M43" s="24" t="s">
        <v>268</v>
      </c>
      <c r="N43" s="25" t="s">
        <v>269</v>
      </c>
      <c r="O43" s="23">
        <v>2020</v>
      </c>
      <c r="P43" s="23" t="s">
        <v>267</v>
      </c>
      <c r="Q43" s="26"/>
      <c r="R43" s="13">
        <f t="shared" si="0"/>
        <v>0.14250000000000002</v>
      </c>
      <c r="S43" s="13">
        <f t="shared" si="1"/>
        <v>2.4500000000000022E-2</v>
      </c>
      <c r="T43" s="13" t="str">
        <f t="shared" si="2"/>
        <v/>
      </c>
      <c r="U43" s="13" t="str">
        <f t="shared" si="3"/>
        <v/>
      </c>
      <c r="V43" s="14">
        <f t="shared" si="4"/>
        <v>0</v>
      </c>
      <c r="W43" s="26"/>
      <c r="X43" t="str">
        <f t="shared" si="5"/>
        <v>unterhalb</v>
      </c>
      <c r="Y43" s="13">
        <f t="shared" si="6"/>
        <v>2.4500000000000022E-2</v>
      </c>
      <c r="Z43" t="str">
        <f>IFERROR(VLOOKUP(A43,Unternehmen!$A:$D,4,FALSE()),"")</f>
        <v>Konsumgueter</v>
      </c>
    </row>
    <row r="44" spans="1:26" ht="15" customHeight="1" x14ac:dyDescent="0.35">
      <c r="A44" s="23" t="s">
        <v>27</v>
      </c>
      <c r="B44" s="23">
        <v>2021</v>
      </c>
      <c r="C44" s="23" t="s">
        <v>15</v>
      </c>
      <c r="D44" s="23">
        <v>2020</v>
      </c>
      <c r="E44" s="23">
        <v>83</v>
      </c>
      <c r="F44" s="23" t="s">
        <v>133</v>
      </c>
      <c r="G44" s="23" t="s">
        <v>199</v>
      </c>
      <c r="H44" s="23" t="s">
        <v>200</v>
      </c>
      <c r="I44" s="30"/>
      <c r="J44" s="30"/>
      <c r="K44" s="24">
        <f t="shared" ref="K44:K51" si="10">L42</f>
        <v>-5.7000000000000002E-2</v>
      </c>
      <c r="L44" s="24">
        <v>9.7000000000000003E-2</v>
      </c>
      <c r="M44" s="24" t="s">
        <v>270</v>
      </c>
      <c r="N44" s="28" t="s">
        <v>208</v>
      </c>
      <c r="O44" s="23">
        <v>2021</v>
      </c>
      <c r="P44" s="23" t="s">
        <v>267</v>
      </c>
      <c r="Q44" s="36" t="s">
        <v>271</v>
      </c>
      <c r="R44" s="13" t="str">
        <f t="shared" si="0"/>
        <v/>
      </c>
      <c r="S44" s="13" t="str">
        <f t="shared" si="1"/>
        <v/>
      </c>
      <c r="T44" s="13" t="str">
        <f t="shared" si="2"/>
        <v/>
      </c>
      <c r="U44" s="13" t="str">
        <f t="shared" si="3"/>
        <v/>
      </c>
      <c r="V44" s="14" t="str">
        <f t="shared" si="4"/>
        <v/>
      </c>
      <c r="W44" s="26" t="s">
        <v>272</v>
      </c>
      <c r="X44" t="str">
        <f t="shared" si="5"/>
        <v>nicht auswertbar</v>
      </c>
      <c r="Y44" s="13" t="str">
        <f t="shared" si="6"/>
        <v/>
      </c>
      <c r="Z44" t="str">
        <f>IFERROR(VLOOKUP(A44,Unternehmen!$A:$D,4,FALSE()),"")</f>
        <v>Konsumgueter</v>
      </c>
    </row>
    <row r="45" spans="1:26" ht="15" customHeight="1" x14ac:dyDescent="0.35">
      <c r="A45" s="23" t="s">
        <v>27</v>
      </c>
      <c r="B45" s="23">
        <v>2021</v>
      </c>
      <c r="C45" s="23" t="s">
        <v>155</v>
      </c>
      <c r="D45" s="23">
        <v>2020</v>
      </c>
      <c r="E45" s="23">
        <v>83</v>
      </c>
      <c r="F45" s="23" t="s">
        <v>133</v>
      </c>
      <c r="G45" s="23" t="s">
        <v>203</v>
      </c>
      <c r="H45" s="23" t="s">
        <v>204</v>
      </c>
      <c r="I45" s="30"/>
      <c r="J45" s="30"/>
      <c r="K45" s="24">
        <f t="shared" si="10"/>
        <v>0.11799999999999999</v>
      </c>
      <c r="L45" s="24">
        <v>0.122</v>
      </c>
      <c r="M45" s="24" t="s">
        <v>273</v>
      </c>
      <c r="N45" s="29" t="s">
        <v>218</v>
      </c>
      <c r="O45" s="23">
        <v>2021</v>
      </c>
      <c r="P45" s="23" t="s">
        <v>267</v>
      </c>
      <c r="Q45" s="26"/>
      <c r="R45" s="13" t="str">
        <f t="shared" si="0"/>
        <v/>
      </c>
      <c r="S45" s="13" t="str">
        <f t="shared" si="1"/>
        <v/>
      </c>
      <c r="T45" s="13" t="str">
        <f t="shared" si="2"/>
        <v/>
      </c>
      <c r="U45" s="13" t="str">
        <f t="shared" si="3"/>
        <v/>
      </c>
      <c r="V45" s="14" t="str">
        <f t="shared" si="4"/>
        <v/>
      </c>
      <c r="W45" s="26" t="s">
        <v>274</v>
      </c>
      <c r="X45" t="str">
        <f t="shared" si="5"/>
        <v>nicht auswertbar</v>
      </c>
      <c r="Y45" s="13" t="str">
        <f t="shared" si="6"/>
        <v/>
      </c>
      <c r="Z45" t="str">
        <f>IFERROR(VLOOKUP(A45,Unternehmen!$A:$D,4,FALSE()),"")</f>
        <v>Konsumgueter</v>
      </c>
    </row>
    <row r="46" spans="1:26" ht="15" customHeight="1" x14ac:dyDescent="0.35">
      <c r="A46" s="23" t="s">
        <v>27</v>
      </c>
      <c r="B46" s="23">
        <v>2022</v>
      </c>
      <c r="C46" s="23" t="s">
        <v>15</v>
      </c>
      <c r="D46" s="23">
        <v>2021</v>
      </c>
      <c r="E46" s="23">
        <v>106</v>
      </c>
      <c r="F46" s="23" t="s">
        <v>140</v>
      </c>
      <c r="G46" s="23" t="s">
        <v>199</v>
      </c>
      <c r="H46" s="23" t="s">
        <v>200</v>
      </c>
      <c r="I46" s="24">
        <v>0.04</v>
      </c>
      <c r="J46" s="24">
        <v>0.06</v>
      </c>
      <c r="K46" s="24">
        <f t="shared" si="10"/>
        <v>9.7000000000000003E-2</v>
      </c>
      <c r="L46" s="24">
        <v>0.10199999999999999</v>
      </c>
      <c r="M46" s="24" t="s">
        <v>275</v>
      </c>
      <c r="N46" s="29" t="s">
        <v>218</v>
      </c>
      <c r="O46" s="23" t="s">
        <v>276</v>
      </c>
      <c r="P46" s="23">
        <v>2</v>
      </c>
      <c r="Q46" s="26"/>
      <c r="R46" s="13">
        <f t="shared" si="0"/>
        <v>0.05</v>
      </c>
      <c r="S46" s="13">
        <f t="shared" si="1"/>
        <v>-5.1999999999999991E-2</v>
      </c>
      <c r="T46" s="13" t="str">
        <f t="shared" si="2"/>
        <v/>
      </c>
      <c r="U46" s="13" t="str">
        <f t="shared" si="3"/>
        <v/>
      </c>
      <c r="V46" s="14">
        <f t="shared" si="4"/>
        <v>0</v>
      </c>
      <c r="W46" s="26"/>
      <c r="X46" t="str">
        <f t="shared" si="5"/>
        <v>oberhalb</v>
      </c>
      <c r="Y46" s="13">
        <f t="shared" si="6"/>
        <v>5.1999999999999991E-2</v>
      </c>
      <c r="Z46" t="str">
        <f>IFERROR(VLOOKUP(A46,Unternehmen!$A:$D,4,FALSE()),"")</f>
        <v>Konsumgueter</v>
      </c>
    </row>
    <row r="47" spans="1:26" ht="15" customHeight="1" x14ac:dyDescent="0.35">
      <c r="A47" s="23" t="s">
        <v>27</v>
      </c>
      <c r="B47" s="23">
        <v>2022</v>
      </c>
      <c r="C47" s="23" t="s">
        <v>155</v>
      </c>
      <c r="D47" s="23">
        <v>2021</v>
      </c>
      <c r="E47" s="23">
        <v>106</v>
      </c>
      <c r="F47" s="23" t="s">
        <v>133</v>
      </c>
      <c r="G47" s="23" t="s">
        <v>203</v>
      </c>
      <c r="H47" s="23" t="s">
        <v>204</v>
      </c>
      <c r="I47" s="30"/>
      <c r="J47" s="30"/>
      <c r="K47" s="24">
        <f t="shared" si="10"/>
        <v>0.122</v>
      </c>
      <c r="L47" s="24">
        <v>0.124</v>
      </c>
      <c r="M47" s="24" t="s">
        <v>277</v>
      </c>
      <c r="N47" s="28" t="s">
        <v>208</v>
      </c>
      <c r="O47" s="23" t="s">
        <v>276</v>
      </c>
      <c r="P47" s="23">
        <v>2</v>
      </c>
      <c r="Q47" s="26"/>
      <c r="R47" s="13" t="str">
        <f t="shared" si="0"/>
        <v/>
      </c>
      <c r="S47" s="13" t="str">
        <f t="shared" si="1"/>
        <v/>
      </c>
      <c r="T47" s="13" t="str">
        <f t="shared" si="2"/>
        <v/>
      </c>
      <c r="U47" s="13" t="str">
        <f t="shared" si="3"/>
        <v/>
      </c>
      <c r="V47" s="14" t="str">
        <f t="shared" si="4"/>
        <v/>
      </c>
      <c r="W47" s="26" t="s">
        <v>278</v>
      </c>
      <c r="X47" t="str">
        <f t="shared" si="5"/>
        <v>nicht auswertbar</v>
      </c>
      <c r="Y47" s="13" t="str">
        <f t="shared" si="6"/>
        <v/>
      </c>
      <c r="Z47" t="str">
        <f>IFERROR(VLOOKUP(A47,Unternehmen!$A:$D,4,FALSE()),"")</f>
        <v>Konsumgueter</v>
      </c>
    </row>
    <row r="48" spans="1:26" ht="15" customHeight="1" x14ac:dyDescent="0.35">
      <c r="A48" s="23" t="s">
        <v>27</v>
      </c>
      <c r="B48" s="23">
        <v>2023</v>
      </c>
      <c r="C48" s="23" t="s">
        <v>15</v>
      </c>
      <c r="D48" s="23" t="s">
        <v>276</v>
      </c>
      <c r="E48" s="23">
        <v>174</v>
      </c>
      <c r="F48" s="23" t="s">
        <v>133</v>
      </c>
      <c r="G48" s="23" t="s">
        <v>199</v>
      </c>
      <c r="H48" s="23" t="s">
        <v>200</v>
      </c>
      <c r="I48" s="30"/>
      <c r="J48" s="30"/>
      <c r="K48" s="24">
        <f t="shared" si="10"/>
        <v>0.10199999999999999</v>
      </c>
      <c r="L48" s="24">
        <v>0.108</v>
      </c>
      <c r="M48" s="24" t="s">
        <v>279</v>
      </c>
      <c r="N48" s="28" t="s">
        <v>208</v>
      </c>
      <c r="O48" s="23" t="s">
        <v>280</v>
      </c>
      <c r="P48" s="23">
        <v>2</v>
      </c>
      <c r="Q48" s="26"/>
      <c r="R48" s="13" t="str">
        <f t="shared" si="0"/>
        <v/>
      </c>
      <c r="S48" s="13" t="str">
        <f t="shared" si="1"/>
        <v/>
      </c>
      <c r="T48" s="13" t="str">
        <f t="shared" si="2"/>
        <v/>
      </c>
      <c r="U48" s="13" t="str">
        <f t="shared" si="3"/>
        <v/>
      </c>
      <c r="V48" s="14" t="str">
        <f t="shared" si="4"/>
        <v/>
      </c>
      <c r="W48" s="26" t="s">
        <v>278</v>
      </c>
      <c r="X48" t="str">
        <f t="shared" si="5"/>
        <v>nicht auswertbar</v>
      </c>
      <c r="Y48" s="13" t="str">
        <f t="shared" si="6"/>
        <v/>
      </c>
      <c r="Z48" t="str">
        <f>IFERROR(VLOOKUP(A48,Unternehmen!$A:$D,4,FALSE()),"")</f>
        <v>Konsumgueter</v>
      </c>
    </row>
    <row r="49" spans="1:26" ht="15" customHeight="1" x14ac:dyDescent="0.35">
      <c r="A49" s="23" t="s">
        <v>27</v>
      </c>
      <c r="B49" s="23">
        <v>2023</v>
      </c>
      <c r="C49" s="23" t="s">
        <v>155</v>
      </c>
      <c r="D49" s="23" t="s">
        <v>276</v>
      </c>
      <c r="E49" s="23">
        <v>174</v>
      </c>
      <c r="F49" s="23" t="s">
        <v>139</v>
      </c>
      <c r="G49" s="23" t="s">
        <v>203</v>
      </c>
      <c r="H49" s="23" t="s">
        <v>204</v>
      </c>
      <c r="I49" s="24">
        <v>0.129</v>
      </c>
      <c r="J49" s="24">
        <v>0.129</v>
      </c>
      <c r="K49" s="24">
        <f t="shared" si="10"/>
        <v>0.124</v>
      </c>
      <c r="L49" s="24">
        <v>0.11700000000000001</v>
      </c>
      <c r="M49" s="24" t="s">
        <v>281</v>
      </c>
      <c r="N49" s="25" t="s">
        <v>282</v>
      </c>
      <c r="O49" s="23" t="s">
        <v>280</v>
      </c>
      <c r="P49" s="23">
        <v>2</v>
      </c>
      <c r="Q49" s="26"/>
      <c r="R49" s="13">
        <f t="shared" si="0"/>
        <v>0.129</v>
      </c>
      <c r="S49" s="13">
        <f t="shared" si="1"/>
        <v>1.1999999999999997E-2</v>
      </c>
      <c r="T49" s="13" t="str">
        <f t="shared" si="2"/>
        <v/>
      </c>
      <c r="U49" s="13" t="str">
        <f t="shared" si="3"/>
        <v/>
      </c>
      <c r="V49" s="14" t="str">
        <f t="shared" si="4"/>
        <v/>
      </c>
      <c r="W49" s="26"/>
      <c r="X49" t="str">
        <f t="shared" si="5"/>
        <v>Punktprognose</v>
      </c>
      <c r="Y49" s="13">
        <f t="shared" si="6"/>
        <v>1.1999999999999997E-2</v>
      </c>
      <c r="Z49" t="str">
        <f>IFERROR(VLOOKUP(A49,Unternehmen!$A:$D,4,FALSE()),"")</f>
        <v>Konsumgueter</v>
      </c>
    </row>
    <row r="50" spans="1:26" ht="15" customHeight="1" x14ac:dyDescent="0.35">
      <c r="A50" s="23" t="s">
        <v>27</v>
      </c>
      <c r="B50" s="23">
        <v>2024</v>
      </c>
      <c r="C50" s="23" t="s">
        <v>15</v>
      </c>
      <c r="D50" s="23" t="s">
        <v>280</v>
      </c>
      <c r="E50" s="23">
        <v>179</v>
      </c>
      <c r="F50" s="23" t="s">
        <v>140</v>
      </c>
      <c r="G50" s="23" t="s">
        <v>199</v>
      </c>
      <c r="H50" s="23" t="s">
        <v>200</v>
      </c>
      <c r="I50" s="24">
        <v>0.04</v>
      </c>
      <c r="J50" s="24">
        <v>0.06</v>
      </c>
      <c r="K50" s="24">
        <f t="shared" si="10"/>
        <v>0.108</v>
      </c>
      <c r="L50" s="24">
        <v>6.5000000000000002E-2</v>
      </c>
      <c r="M50" s="24" t="s">
        <v>283</v>
      </c>
      <c r="N50" s="28" t="s">
        <v>208</v>
      </c>
      <c r="O50" s="23" t="s">
        <v>284</v>
      </c>
      <c r="P50" s="23">
        <v>2</v>
      </c>
      <c r="Q50" s="26"/>
      <c r="R50" s="13">
        <f t="shared" si="0"/>
        <v>0.05</v>
      </c>
      <c r="S50" s="13">
        <f t="shared" si="1"/>
        <v>-1.4999999999999999E-2</v>
      </c>
      <c r="T50" s="13" t="str">
        <f t="shared" si="2"/>
        <v/>
      </c>
      <c r="U50" s="13" t="str">
        <f t="shared" si="3"/>
        <v/>
      </c>
      <c r="V50" s="14">
        <f t="shared" si="4"/>
        <v>0</v>
      </c>
      <c r="W50" s="26"/>
      <c r="X50" t="str">
        <f t="shared" si="5"/>
        <v>oberhalb</v>
      </c>
      <c r="Y50" s="13">
        <f t="shared" si="6"/>
        <v>1.4999999999999999E-2</v>
      </c>
      <c r="Z50" t="str">
        <f>IFERROR(VLOOKUP(A50,Unternehmen!$A:$D,4,FALSE()),"")</f>
        <v>Konsumgueter</v>
      </c>
    </row>
    <row r="51" spans="1:26" ht="15" customHeight="1" x14ac:dyDescent="0.35">
      <c r="A51" s="23" t="s">
        <v>27</v>
      </c>
      <c r="B51" s="23">
        <v>2024</v>
      </c>
      <c r="C51" s="23" t="s">
        <v>155</v>
      </c>
      <c r="D51" s="23" t="s">
        <v>280</v>
      </c>
      <c r="E51" s="23">
        <v>179</v>
      </c>
      <c r="F51" s="23" t="s">
        <v>139</v>
      </c>
      <c r="G51" s="23" t="s">
        <v>203</v>
      </c>
      <c r="H51" s="23" t="s">
        <v>204</v>
      </c>
      <c r="I51" s="24">
        <v>0.122</v>
      </c>
      <c r="J51" s="24">
        <v>0.122</v>
      </c>
      <c r="K51" s="24">
        <f t="shared" si="10"/>
        <v>0.11700000000000001</v>
      </c>
      <c r="L51" s="24">
        <v>0.13100000000000001</v>
      </c>
      <c r="M51" s="24" t="s">
        <v>285</v>
      </c>
      <c r="N51" s="29" t="s">
        <v>218</v>
      </c>
      <c r="O51" s="23" t="s">
        <v>284</v>
      </c>
      <c r="P51" s="23">
        <v>2</v>
      </c>
      <c r="Q51" s="26"/>
      <c r="R51" s="13">
        <f t="shared" si="0"/>
        <v>0.122</v>
      </c>
      <c r="S51" s="13">
        <f t="shared" si="1"/>
        <v>-9.000000000000008E-3</v>
      </c>
      <c r="T51" s="13" t="str">
        <f t="shared" si="2"/>
        <v/>
      </c>
      <c r="U51" s="13" t="str">
        <f t="shared" si="3"/>
        <v/>
      </c>
      <c r="V51" s="14" t="str">
        <f t="shared" si="4"/>
        <v/>
      </c>
      <c r="W51" s="26"/>
      <c r="X51" t="str">
        <f t="shared" si="5"/>
        <v>Punktprognose</v>
      </c>
      <c r="Y51" s="13">
        <f t="shared" si="6"/>
        <v>9.000000000000008E-3</v>
      </c>
      <c r="Z51" t="str">
        <f>IFERROR(VLOOKUP(A51,Unternehmen!$A:$D,4,FALSE()),"")</f>
        <v>Konsumgueter</v>
      </c>
    </row>
    <row r="52" spans="1:26" ht="15" customHeight="1" x14ac:dyDescent="0.35">
      <c r="A52" s="23" t="s">
        <v>32</v>
      </c>
      <c r="B52" s="23">
        <v>2020</v>
      </c>
      <c r="C52" s="23" t="s">
        <v>15</v>
      </c>
      <c r="D52" s="35"/>
      <c r="E52" s="35"/>
      <c r="F52" s="35" t="s">
        <v>134</v>
      </c>
      <c r="G52" s="35"/>
      <c r="H52" s="35"/>
      <c r="I52" s="30"/>
      <c r="J52" s="30"/>
      <c r="K52" s="30"/>
      <c r="L52" s="30"/>
      <c r="M52" s="30"/>
      <c r="N52" s="33"/>
      <c r="O52" s="35"/>
      <c r="P52" s="35"/>
      <c r="Q52" s="26"/>
      <c r="R52" s="31" t="str">
        <f t="shared" si="0"/>
        <v/>
      </c>
      <c r="S52" s="31" t="str">
        <f t="shared" si="1"/>
        <v/>
      </c>
      <c r="T52" s="13" t="str">
        <f t="shared" si="2"/>
        <v/>
      </c>
      <c r="U52" s="13" t="str">
        <f t="shared" si="3"/>
        <v/>
      </c>
      <c r="V52" s="14" t="str">
        <f t="shared" si="4"/>
        <v/>
      </c>
      <c r="W52" s="26"/>
      <c r="X52" t="str">
        <f t="shared" si="5"/>
        <v>nicht auswertbar</v>
      </c>
      <c r="Y52" s="31" t="str">
        <f t="shared" si="6"/>
        <v/>
      </c>
      <c r="Z52" t="str">
        <f>IFERROR(VLOOKUP(A52,Unternehmen!$A:$D,4,FALSE()),"")</f>
        <v>Automobile</v>
      </c>
    </row>
    <row r="53" spans="1:26" ht="15" customHeight="1" x14ac:dyDescent="0.35">
      <c r="A53" s="23" t="s">
        <v>32</v>
      </c>
      <c r="B53" s="23">
        <v>2020</v>
      </c>
      <c r="C53" s="23" t="s">
        <v>155</v>
      </c>
      <c r="D53" s="23" t="s">
        <v>286</v>
      </c>
      <c r="E53" s="23">
        <v>85</v>
      </c>
      <c r="F53" s="23" t="s">
        <v>137</v>
      </c>
      <c r="G53" s="23" t="s">
        <v>203</v>
      </c>
      <c r="H53" s="23" t="s">
        <v>204</v>
      </c>
      <c r="I53" s="24">
        <v>0.02</v>
      </c>
      <c r="J53" s="24">
        <v>0.04</v>
      </c>
      <c r="K53" s="24">
        <v>4.9000000000000002E-2</v>
      </c>
      <c r="L53" s="24">
        <v>2.7E-2</v>
      </c>
      <c r="M53" s="24" t="s">
        <v>269</v>
      </c>
      <c r="N53" s="28" t="s">
        <v>208</v>
      </c>
      <c r="O53" s="23" t="s">
        <v>287</v>
      </c>
      <c r="P53" s="23">
        <v>163</v>
      </c>
      <c r="Q53" s="26"/>
      <c r="R53" s="13">
        <f t="shared" si="0"/>
        <v>0.03</v>
      </c>
      <c r="S53" s="13">
        <f t="shared" si="1"/>
        <v>2.9999999999999992E-3</v>
      </c>
      <c r="T53" s="13" t="str">
        <f t="shared" si="2"/>
        <v/>
      </c>
      <c r="U53" s="13" t="str">
        <f t="shared" si="3"/>
        <v/>
      </c>
      <c r="V53" s="14">
        <f t="shared" si="4"/>
        <v>1</v>
      </c>
      <c r="W53" s="26"/>
      <c r="X53" t="str">
        <f t="shared" si="5"/>
        <v>innerhalb</v>
      </c>
      <c r="Y53" s="13">
        <f t="shared" si="6"/>
        <v>2.9999999999999992E-3</v>
      </c>
      <c r="Z53" t="str">
        <f>IFERROR(VLOOKUP(A53,Unternehmen!$A:$D,4,FALSE()),"")</f>
        <v>Automobile</v>
      </c>
    </row>
    <row r="54" spans="1:26" ht="15" customHeight="1" x14ac:dyDescent="0.35">
      <c r="A54" s="23" t="s">
        <v>32</v>
      </c>
      <c r="B54" s="23">
        <v>2021</v>
      </c>
      <c r="C54" s="23" t="s">
        <v>15</v>
      </c>
      <c r="D54" s="35"/>
      <c r="E54" s="35"/>
      <c r="F54" s="35" t="s">
        <v>134</v>
      </c>
      <c r="G54" s="35"/>
      <c r="H54" s="35"/>
      <c r="I54" s="30"/>
      <c r="J54" s="30"/>
      <c r="K54" s="30"/>
      <c r="L54" s="30"/>
      <c r="M54" s="30"/>
      <c r="N54" s="33"/>
      <c r="O54" s="35"/>
      <c r="P54" s="35"/>
      <c r="Q54" s="26"/>
      <c r="R54" s="31" t="str">
        <f t="shared" si="0"/>
        <v/>
      </c>
      <c r="S54" s="31" t="str">
        <f t="shared" si="1"/>
        <v/>
      </c>
      <c r="T54" s="13" t="str">
        <f t="shared" si="2"/>
        <v/>
      </c>
      <c r="U54" s="13" t="str">
        <f t="shared" si="3"/>
        <v/>
      </c>
      <c r="V54" s="14" t="str">
        <f t="shared" si="4"/>
        <v/>
      </c>
      <c r="W54" s="26"/>
      <c r="X54" t="str">
        <f t="shared" si="5"/>
        <v>nicht auswertbar</v>
      </c>
      <c r="Y54" s="31" t="str">
        <f t="shared" si="6"/>
        <v/>
      </c>
      <c r="Z54" t="str">
        <f>IFERROR(VLOOKUP(A54,Unternehmen!$A:$D,4,FALSE()),"")</f>
        <v>Automobile</v>
      </c>
    </row>
    <row r="55" spans="1:26" ht="15" customHeight="1" x14ac:dyDescent="0.35">
      <c r="A55" s="23" t="s">
        <v>32</v>
      </c>
      <c r="B55" s="23">
        <v>2021</v>
      </c>
      <c r="C55" s="23" t="s">
        <v>155</v>
      </c>
      <c r="D55" s="23" t="s">
        <v>287</v>
      </c>
      <c r="E55" s="23">
        <v>163</v>
      </c>
      <c r="F55" s="23" t="s">
        <v>137</v>
      </c>
      <c r="G55" s="23" t="s">
        <v>203</v>
      </c>
      <c r="H55" s="23" t="s">
        <v>204</v>
      </c>
      <c r="I55" s="24">
        <v>0.06</v>
      </c>
      <c r="J55" s="24">
        <v>0.08</v>
      </c>
      <c r="K55" s="24">
        <f>L53</f>
        <v>2.7E-2</v>
      </c>
      <c r="L55" s="24">
        <v>0.10299999999999999</v>
      </c>
      <c r="M55" s="24" t="s">
        <v>288</v>
      </c>
      <c r="N55" s="29" t="s">
        <v>218</v>
      </c>
      <c r="O55" s="23" t="s">
        <v>289</v>
      </c>
      <c r="P55" s="23">
        <v>128</v>
      </c>
      <c r="Q55" s="26"/>
      <c r="R55" s="13">
        <f t="shared" si="0"/>
        <v>7.0000000000000007E-2</v>
      </c>
      <c r="S55" s="13">
        <f t="shared" si="1"/>
        <v>-3.2999999999999988E-2</v>
      </c>
      <c r="T55" s="13" t="str">
        <f t="shared" si="2"/>
        <v/>
      </c>
      <c r="U55" s="13" t="str">
        <f t="shared" si="3"/>
        <v/>
      </c>
      <c r="V55" s="14">
        <f t="shared" si="4"/>
        <v>0</v>
      </c>
      <c r="W55" s="26"/>
      <c r="X55" t="str">
        <f t="shared" si="5"/>
        <v>oberhalb</v>
      </c>
      <c r="Y55" s="13">
        <f t="shared" si="6"/>
        <v>3.2999999999999988E-2</v>
      </c>
      <c r="Z55" t="str">
        <f>IFERROR(VLOOKUP(A55,Unternehmen!$A:$D,4,FALSE()),"")</f>
        <v>Automobile</v>
      </c>
    </row>
    <row r="56" spans="1:26" ht="15" customHeight="1" x14ac:dyDescent="0.35">
      <c r="A56" s="23" t="s">
        <v>32</v>
      </c>
      <c r="B56" s="23">
        <v>2022</v>
      </c>
      <c r="C56" s="23" t="s">
        <v>15</v>
      </c>
      <c r="D56" s="35"/>
      <c r="E56" s="35"/>
      <c r="F56" s="35" t="s">
        <v>134</v>
      </c>
      <c r="G56" s="35"/>
      <c r="H56" s="35"/>
      <c r="I56" s="30"/>
      <c r="J56" s="30"/>
      <c r="K56" s="30"/>
      <c r="L56" s="30"/>
      <c r="M56" s="30"/>
      <c r="N56" s="33"/>
      <c r="O56" s="35"/>
      <c r="P56" s="35"/>
      <c r="Q56" s="26"/>
      <c r="R56" s="31" t="str">
        <f t="shared" si="0"/>
        <v/>
      </c>
      <c r="S56" s="31" t="str">
        <f t="shared" si="1"/>
        <v/>
      </c>
      <c r="T56" s="13" t="str">
        <f t="shared" si="2"/>
        <v/>
      </c>
      <c r="U56" s="13" t="str">
        <f t="shared" si="3"/>
        <v/>
      </c>
      <c r="V56" s="14" t="str">
        <f t="shared" si="4"/>
        <v/>
      </c>
      <c r="W56" s="26"/>
      <c r="X56" t="str">
        <f t="shared" si="5"/>
        <v>nicht auswertbar</v>
      </c>
      <c r="Y56" s="31" t="str">
        <f t="shared" si="6"/>
        <v/>
      </c>
      <c r="Z56" t="str">
        <f>IFERROR(VLOOKUP(A56,Unternehmen!$A:$D,4,FALSE()),"")</f>
        <v>Automobile</v>
      </c>
    </row>
    <row r="57" spans="1:26" ht="15" customHeight="1" x14ac:dyDescent="0.35">
      <c r="A57" s="23" t="s">
        <v>32</v>
      </c>
      <c r="B57" s="23">
        <v>2022</v>
      </c>
      <c r="C57" s="23" t="s">
        <v>155</v>
      </c>
      <c r="D57" s="23" t="s">
        <v>289</v>
      </c>
      <c r="E57" s="23">
        <v>128</v>
      </c>
      <c r="F57" s="23" t="s">
        <v>137</v>
      </c>
      <c r="G57" s="23" t="s">
        <v>203</v>
      </c>
      <c r="H57" s="23" t="s">
        <v>204</v>
      </c>
      <c r="I57" s="24">
        <v>7.0000000000000007E-2</v>
      </c>
      <c r="J57" s="24">
        <v>0.09</v>
      </c>
      <c r="K57" s="24">
        <f>L55</f>
        <v>0.10299999999999999</v>
      </c>
      <c r="L57" s="24">
        <v>8.5999999999999993E-2</v>
      </c>
      <c r="M57" s="24" t="s">
        <v>268</v>
      </c>
      <c r="N57" s="28" t="s">
        <v>208</v>
      </c>
      <c r="O57" s="23" t="s">
        <v>290</v>
      </c>
      <c r="P57" s="23">
        <v>126</v>
      </c>
      <c r="Q57" s="26"/>
      <c r="R57" s="13">
        <f t="shared" si="0"/>
        <v>0.08</v>
      </c>
      <c r="S57" s="13">
        <f t="shared" si="1"/>
        <v>-5.9999999999999915E-3</v>
      </c>
      <c r="T57" s="13" t="str">
        <f t="shared" si="2"/>
        <v/>
      </c>
      <c r="U57" s="13" t="str">
        <f t="shared" si="3"/>
        <v/>
      </c>
      <c r="V57" s="14">
        <f t="shared" si="4"/>
        <v>1</v>
      </c>
      <c r="W57" s="26"/>
      <c r="X57" t="str">
        <f t="shared" si="5"/>
        <v>innerhalb</v>
      </c>
      <c r="Y57" s="13">
        <f t="shared" si="6"/>
        <v>5.9999999999999915E-3</v>
      </c>
      <c r="Z57" t="str">
        <f>IFERROR(VLOOKUP(A57,Unternehmen!$A:$D,4,FALSE()),"")</f>
        <v>Automobile</v>
      </c>
    </row>
    <row r="58" spans="1:26" ht="15" customHeight="1" x14ac:dyDescent="0.35">
      <c r="A58" s="23" t="s">
        <v>32</v>
      </c>
      <c r="B58" s="23">
        <v>2023</v>
      </c>
      <c r="C58" s="23" t="s">
        <v>15</v>
      </c>
      <c r="D58" s="35"/>
      <c r="E58" s="35"/>
      <c r="F58" s="35" t="s">
        <v>134</v>
      </c>
      <c r="G58" s="35"/>
      <c r="H58" s="35"/>
      <c r="I58" s="30"/>
      <c r="J58" s="30"/>
      <c r="K58" s="30"/>
      <c r="L58" s="30"/>
      <c r="M58" s="30"/>
      <c r="N58" s="33"/>
      <c r="O58" s="35"/>
      <c r="P58" s="35"/>
      <c r="Q58" s="26"/>
      <c r="R58" s="31" t="str">
        <f t="shared" si="0"/>
        <v/>
      </c>
      <c r="S58" s="31" t="str">
        <f t="shared" si="1"/>
        <v/>
      </c>
      <c r="T58" s="13" t="str">
        <f t="shared" si="2"/>
        <v/>
      </c>
      <c r="U58" s="13" t="str">
        <f t="shared" si="3"/>
        <v/>
      </c>
      <c r="V58" s="14" t="str">
        <f t="shared" si="4"/>
        <v/>
      </c>
      <c r="W58" s="26"/>
      <c r="X58" t="str">
        <f t="shared" si="5"/>
        <v>nicht auswertbar</v>
      </c>
      <c r="Y58" s="31" t="str">
        <f t="shared" si="6"/>
        <v/>
      </c>
      <c r="Z58" t="str">
        <f>IFERROR(VLOOKUP(A58,Unternehmen!$A:$D,4,FALSE()),"")</f>
        <v>Automobile</v>
      </c>
    </row>
    <row r="59" spans="1:26" ht="15" customHeight="1" x14ac:dyDescent="0.35">
      <c r="A59" s="23" t="s">
        <v>32</v>
      </c>
      <c r="B59" s="23">
        <v>2023</v>
      </c>
      <c r="C59" s="23" t="s">
        <v>155</v>
      </c>
      <c r="D59" s="23" t="s">
        <v>290</v>
      </c>
      <c r="E59" s="23">
        <v>126</v>
      </c>
      <c r="F59" s="23" t="s">
        <v>137</v>
      </c>
      <c r="G59" s="23" t="s">
        <v>203</v>
      </c>
      <c r="H59" s="23" t="s">
        <v>204</v>
      </c>
      <c r="I59" s="24">
        <v>0.08</v>
      </c>
      <c r="J59" s="24">
        <v>0.1</v>
      </c>
      <c r="K59" s="24">
        <f>L57</f>
        <v>8.5999999999999993E-2</v>
      </c>
      <c r="L59" s="24">
        <v>9.8000000000000004E-2</v>
      </c>
      <c r="M59" s="24" t="s">
        <v>259</v>
      </c>
      <c r="N59" s="28" t="s">
        <v>208</v>
      </c>
      <c r="O59" s="23" t="s">
        <v>291</v>
      </c>
      <c r="P59" s="23">
        <v>125</v>
      </c>
      <c r="Q59" s="26"/>
      <c r="R59" s="13">
        <f t="shared" si="0"/>
        <v>0.09</v>
      </c>
      <c r="S59" s="13">
        <f t="shared" si="1"/>
        <v>-8.0000000000000071E-3</v>
      </c>
      <c r="T59" s="13" t="str">
        <f t="shared" si="2"/>
        <v/>
      </c>
      <c r="U59" s="13" t="str">
        <f t="shared" si="3"/>
        <v/>
      </c>
      <c r="V59" s="14">
        <f t="shared" si="4"/>
        <v>1</v>
      </c>
      <c r="W59" s="26"/>
      <c r="X59" t="str">
        <f t="shared" si="5"/>
        <v>innerhalb</v>
      </c>
      <c r="Y59" s="13">
        <f t="shared" si="6"/>
        <v>8.0000000000000071E-3</v>
      </c>
      <c r="Z59" t="str">
        <f>IFERROR(VLOOKUP(A59,Unternehmen!$A:$D,4,FALSE()),"")</f>
        <v>Automobile</v>
      </c>
    </row>
    <row r="60" spans="1:26" ht="15" customHeight="1" x14ac:dyDescent="0.35">
      <c r="A60" s="23" t="s">
        <v>32</v>
      </c>
      <c r="B60" s="23">
        <v>2024</v>
      </c>
      <c r="C60" s="23" t="s">
        <v>15</v>
      </c>
      <c r="D60" s="35"/>
      <c r="E60" s="35"/>
      <c r="F60" s="35" t="s">
        <v>134</v>
      </c>
      <c r="G60" s="35"/>
      <c r="H60" s="35"/>
      <c r="I60" s="30"/>
      <c r="J60" s="30"/>
      <c r="K60" s="30"/>
      <c r="L60" s="30"/>
      <c r="M60" s="30"/>
      <c r="N60" s="33"/>
      <c r="O60" s="35"/>
      <c r="P60" s="35"/>
      <c r="Q60" s="26"/>
      <c r="R60" s="31" t="str">
        <f t="shared" si="0"/>
        <v/>
      </c>
      <c r="S60" s="31" t="str">
        <f t="shared" si="1"/>
        <v/>
      </c>
      <c r="T60" s="13" t="str">
        <f t="shared" si="2"/>
        <v/>
      </c>
      <c r="U60" s="13" t="str">
        <f t="shared" si="3"/>
        <v/>
      </c>
      <c r="V60" s="14" t="str">
        <f t="shared" si="4"/>
        <v/>
      </c>
      <c r="W60" s="26"/>
      <c r="X60" t="str">
        <f t="shared" si="5"/>
        <v>nicht auswertbar</v>
      </c>
      <c r="Y60" s="31" t="str">
        <f t="shared" si="6"/>
        <v/>
      </c>
      <c r="Z60" t="str">
        <f>IFERROR(VLOOKUP(A60,Unternehmen!$A:$D,4,FALSE()),"")</f>
        <v>Automobile</v>
      </c>
    </row>
    <row r="61" spans="1:26" ht="15" customHeight="1" x14ac:dyDescent="0.35">
      <c r="A61" s="23" t="s">
        <v>32</v>
      </c>
      <c r="B61" s="23">
        <v>2024</v>
      </c>
      <c r="C61" s="23" t="s">
        <v>155</v>
      </c>
      <c r="D61" s="23" t="s">
        <v>291</v>
      </c>
      <c r="E61" s="23">
        <v>125</v>
      </c>
      <c r="F61" s="23" t="s">
        <v>137</v>
      </c>
      <c r="G61" s="23" t="s">
        <v>203</v>
      </c>
      <c r="H61" s="23" t="s">
        <v>204</v>
      </c>
      <c r="I61" s="24">
        <v>0.08</v>
      </c>
      <c r="J61" s="24">
        <v>0.1</v>
      </c>
      <c r="K61" s="24">
        <f>L59</f>
        <v>9.8000000000000004E-2</v>
      </c>
      <c r="L61" s="24">
        <v>6.3E-2</v>
      </c>
      <c r="M61" s="24" t="s">
        <v>292</v>
      </c>
      <c r="N61" s="27" t="s">
        <v>268</v>
      </c>
      <c r="O61" s="23" t="s">
        <v>293</v>
      </c>
      <c r="P61" s="23">
        <v>263</v>
      </c>
      <c r="Q61" s="26"/>
      <c r="R61" s="13">
        <f t="shared" si="0"/>
        <v>0.09</v>
      </c>
      <c r="S61" s="13">
        <f t="shared" si="1"/>
        <v>2.6999999999999996E-2</v>
      </c>
      <c r="T61" s="13" t="str">
        <f t="shared" si="2"/>
        <v/>
      </c>
      <c r="U61" s="13" t="str">
        <f t="shared" si="3"/>
        <v/>
      </c>
      <c r="V61" s="14">
        <f t="shared" si="4"/>
        <v>0</v>
      </c>
      <c r="W61" s="26"/>
      <c r="X61" t="str">
        <f t="shared" si="5"/>
        <v>unterhalb</v>
      </c>
      <c r="Y61" s="13">
        <f t="shared" si="6"/>
        <v>2.6999999999999996E-2</v>
      </c>
      <c r="Z61" t="str">
        <f>IFERROR(VLOOKUP(A61,Unternehmen!$A:$D,4,FALSE()),"")</f>
        <v>Automobile</v>
      </c>
    </row>
    <row r="62" spans="1:26" ht="15" customHeight="1" x14ac:dyDescent="0.35">
      <c r="A62" s="23" t="s">
        <v>38</v>
      </c>
      <c r="B62" s="23">
        <v>2020</v>
      </c>
      <c r="C62" s="23" t="s">
        <v>15</v>
      </c>
      <c r="D62" s="23" t="s">
        <v>294</v>
      </c>
      <c r="E62" s="23">
        <v>104</v>
      </c>
      <c r="F62" s="23" t="s">
        <v>138</v>
      </c>
      <c r="G62" s="23" t="s">
        <v>220</v>
      </c>
      <c r="H62" s="23" t="s">
        <v>226</v>
      </c>
      <c r="I62" s="25">
        <v>42.5</v>
      </c>
      <c r="J62" s="25">
        <v>44.5</v>
      </c>
      <c r="K62" s="25">
        <v>44.5</v>
      </c>
      <c r="L62" s="25">
        <v>37.700000000000003</v>
      </c>
      <c r="M62" s="25">
        <f>L62-K62</f>
        <v>-6.7999999999999972</v>
      </c>
      <c r="N62" s="37" t="s">
        <v>295</v>
      </c>
      <c r="O62" s="23" t="s">
        <v>296</v>
      </c>
      <c r="P62" s="23">
        <v>113</v>
      </c>
      <c r="Q62" s="26"/>
      <c r="R62" s="31">
        <f t="shared" si="0"/>
        <v>43.5</v>
      </c>
      <c r="S62" s="31">
        <f t="shared" si="1"/>
        <v>5.7999999999999972</v>
      </c>
      <c r="T62" s="13">
        <f t="shared" si="2"/>
        <v>0.15384615384615377</v>
      </c>
      <c r="U62" s="13">
        <f t="shared" si="3"/>
        <v>0.15384615384615377</v>
      </c>
      <c r="V62" s="14">
        <f t="shared" si="4"/>
        <v>0</v>
      </c>
      <c r="W62" s="26"/>
      <c r="X62" t="str">
        <f t="shared" si="5"/>
        <v>unterhalb</v>
      </c>
      <c r="Y62" s="31" t="str">
        <f t="shared" si="6"/>
        <v/>
      </c>
      <c r="Z62" t="str">
        <f>IFERROR(VLOOKUP(A62,Unternehmen!$A:$D,4,FALSE()),"")</f>
        <v>Automobile</v>
      </c>
    </row>
    <row r="63" spans="1:26" ht="15" customHeight="1" x14ac:dyDescent="0.35">
      <c r="A63" s="23" t="s">
        <v>38</v>
      </c>
      <c r="B63" s="23">
        <v>2020</v>
      </c>
      <c r="C63" s="23" t="s">
        <v>155</v>
      </c>
      <c r="D63" s="23" t="s">
        <v>294</v>
      </c>
      <c r="E63" s="23">
        <v>104</v>
      </c>
      <c r="F63" s="23" t="s">
        <v>137</v>
      </c>
      <c r="G63" s="23" t="s">
        <v>203</v>
      </c>
      <c r="H63" s="23" t="s">
        <v>204</v>
      </c>
      <c r="I63" s="24">
        <v>5.5E-2</v>
      </c>
      <c r="J63" s="24">
        <v>6.5000000000000002E-2</v>
      </c>
      <c r="K63" s="24">
        <v>7.3999999999999996E-2</v>
      </c>
      <c r="L63" s="24">
        <v>3.5000000000000003E-2</v>
      </c>
      <c r="M63" s="24" t="s">
        <v>297</v>
      </c>
      <c r="N63" s="27" t="s">
        <v>298</v>
      </c>
      <c r="O63" s="23" t="s">
        <v>296</v>
      </c>
      <c r="P63" s="23">
        <v>113</v>
      </c>
      <c r="Q63" s="26"/>
      <c r="R63" s="13">
        <f t="shared" si="0"/>
        <v>0.06</v>
      </c>
      <c r="S63" s="13">
        <f t="shared" si="1"/>
        <v>2.4999999999999994E-2</v>
      </c>
      <c r="T63" s="13" t="str">
        <f t="shared" si="2"/>
        <v/>
      </c>
      <c r="U63" s="13" t="str">
        <f t="shared" si="3"/>
        <v/>
      </c>
      <c r="V63" s="14">
        <f t="shared" si="4"/>
        <v>0</v>
      </c>
      <c r="W63" s="26"/>
      <c r="X63" t="str">
        <f t="shared" si="5"/>
        <v>unterhalb</v>
      </c>
      <c r="Y63" s="13">
        <f t="shared" si="6"/>
        <v>2.4999999999999994E-2</v>
      </c>
      <c r="Z63" t="str">
        <f>IFERROR(VLOOKUP(A63,Unternehmen!$A:$D,4,FALSE()),"")</f>
        <v>Automobile</v>
      </c>
    </row>
    <row r="64" spans="1:26" ht="15" customHeight="1" x14ac:dyDescent="0.35">
      <c r="A64" s="23" t="s">
        <v>38</v>
      </c>
      <c r="B64" s="23">
        <v>2021</v>
      </c>
      <c r="C64" s="23" t="s">
        <v>15</v>
      </c>
      <c r="D64" s="23" t="s">
        <v>296</v>
      </c>
      <c r="E64" s="23">
        <v>114</v>
      </c>
      <c r="F64" s="23" t="s">
        <v>138</v>
      </c>
      <c r="G64" s="23" t="s">
        <v>220</v>
      </c>
      <c r="H64" s="23" t="s">
        <v>226</v>
      </c>
      <c r="I64" s="25">
        <v>40.5</v>
      </c>
      <c r="J64" s="25">
        <v>42.5</v>
      </c>
      <c r="K64" s="25">
        <f t="shared" ref="K64:K71" si="11">L62</f>
        <v>37.700000000000003</v>
      </c>
      <c r="L64" s="25">
        <v>33.799999999999997</v>
      </c>
      <c r="M64" s="25">
        <f>L64-K64</f>
        <v>-3.9000000000000057</v>
      </c>
      <c r="N64" s="27" t="s">
        <v>299</v>
      </c>
      <c r="O64" s="23" t="s">
        <v>300</v>
      </c>
      <c r="P64" s="23">
        <v>99</v>
      </c>
      <c r="Q64" s="26"/>
      <c r="R64" s="31">
        <f t="shared" si="0"/>
        <v>41.5</v>
      </c>
      <c r="S64" s="31">
        <f t="shared" si="1"/>
        <v>7.7000000000000028</v>
      </c>
      <c r="T64" s="13">
        <f t="shared" si="2"/>
        <v>0.22781065088757407</v>
      </c>
      <c r="U64" s="13">
        <f t="shared" si="3"/>
        <v>0.22781065088757407</v>
      </c>
      <c r="V64" s="14">
        <f t="shared" si="4"/>
        <v>0</v>
      </c>
      <c r="W64" s="26"/>
      <c r="X64" t="str">
        <f t="shared" si="5"/>
        <v>unterhalb</v>
      </c>
      <c r="Y64" s="31" t="str">
        <f t="shared" si="6"/>
        <v/>
      </c>
      <c r="Z64" t="str">
        <f>IFERROR(VLOOKUP(A64,Unternehmen!$A:$D,4,FALSE()),"")</f>
        <v>Automobile</v>
      </c>
    </row>
    <row r="65" spans="1:26" ht="15" customHeight="1" x14ac:dyDescent="0.35">
      <c r="A65" s="23" t="s">
        <v>38</v>
      </c>
      <c r="B65" s="23">
        <v>2021</v>
      </c>
      <c r="C65" s="23" t="s">
        <v>155</v>
      </c>
      <c r="D65" s="23" t="s">
        <v>296</v>
      </c>
      <c r="E65" s="23">
        <v>114</v>
      </c>
      <c r="F65" s="23" t="s">
        <v>137</v>
      </c>
      <c r="G65" s="23" t="s">
        <v>203</v>
      </c>
      <c r="H65" s="23" t="s">
        <v>204</v>
      </c>
      <c r="I65" s="24">
        <v>0.05</v>
      </c>
      <c r="J65" s="24">
        <v>0.06</v>
      </c>
      <c r="K65" s="24">
        <f t="shared" si="11"/>
        <v>3.5000000000000003E-2</v>
      </c>
      <c r="L65" s="24">
        <v>5.6000000000000001E-2</v>
      </c>
      <c r="M65" s="24" t="s">
        <v>301</v>
      </c>
      <c r="N65" s="28" t="s">
        <v>208</v>
      </c>
      <c r="O65" s="23" t="s">
        <v>300</v>
      </c>
      <c r="P65" s="23">
        <v>99</v>
      </c>
      <c r="Q65" s="26"/>
      <c r="R65" s="13">
        <f t="shared" si="0"/>
        <v>5.5E-2</v>
      </c>
      <c r="S65" s="13">
        <f t="shared" si="1"/>
        <v>-1.0000000000000009E-3</v>
      </c>
      <c r="T65" s="13" t="str">
        <f t="shared" si="2"/>
        <v/>
      </c>
      <c r="U65" s="13" t="str">
        <f t="shared" si="3"/>
        <v/>
      </c>
      <c r="V65" s="14">
        <f t="shared" si="4"/>
        <v>1</v>
      </c>
      <c r="W65" s="26"/>
      <c r="X65" t="str">
        <f t="shared" si="5"/>
        <v>innerhalb</v>
      </c>
      <c r="Y65" s="13">
        <f t="shared" si="6"/>
        <v>1.0000000000000009E-3</v>
      </c>
      <c r="Z65" t="str">
        <f>IFERROR(VLOOKUP(A65,Unternehmen!$A:$D,4,FALSE()),"")</f>
        <v>Automobile</v>
      </c>
    </row>
    <row r="66" spans="1:26" ht="15" customHeight="1" x14ac:dyDescent="0.35">
      <c r="A66" s="23" t="s">
        <v>38</v>
      </c>
      <c r="B66" s="23">
        <v>2022</v>
      </c>
      <c r="C66" s="23" t="s">
        <v>15</v>
      </c>
      <c r="D66" s="23" t="s">
        <v>300</v>
      </c>
      <c r="E66" s="23">
        <v>101</v>
      </c>
      <c r="F66" s="23" t="s">
        <v>138</v>
      </c>
      <c r="G66" s="23" t="s">
        <v>220</v>
      </c>
      <c r="H66" s="23" t="s">
        <v>226</v>
      </c>
      <c r="I66" s="25">
        <v>38</v>
      </c>
      <c r="J66" s="25">
        <v>40</v>
      </c>
      <c r="K66" s="25">
        <f t="shared" si="11"/>
        <v>33.799999999999997</v>
      </c>
      <c r="L66" s="25">
        <v>39.4</v>
      </c>
      <c r="M66" s="25">
        <f>L66-K66</f>
        <v>5.6000000000000014</v>
      </c>
      <c r="N66" s="28" t="s">
        <v>208</v>
      </c>
      <c r="O66" s="23" t="s">
        <v>302</v>
      </c>
      <c r="P66" s="23">
        <v>105</v>
      </c>
      <c r="Q66" s="26"/>
      <c r="R66" s="31">
        <f t="shared" ref="R66:R129" si="12">IF(NOT(ISNUMBER(I66)),"",IF(F66="Mindestprognose",I66,IF(ISNUMBER(J66),(I66+J66)/2,I66)))</f>
        <v>39</v>
      </c>
      <c r="S66" s="31">
        <f t="shared" ref="S66:S129" si="13">IF(OR(R66="",NOT(ISNUMBER(L66))),"",R66-L66)</f>
        <v>-0.39999999999999858</v>
      </c>
      <c r="T66" s="13">
        <f t="shared" ref="T66:T129" si="14">IF(OR(S66="",G66&lt;&gt;"absolut",NOT(ISNUMBER(L66)),L66=0),"",S66/ABS(L66))</f>
        <v>-1.0152284263959355E-2</v>
      </c>
      <c r="U66" s="13">
        <f t="shared" ref="U66:U129" si="15">IF(T66="","",ABS(T66))</f>
        <v>1.0152284263959355E-2</v>
      </c>
      <c r="V66" s="14">
        <f t="shared" ref="V66:V129" si="16">IF(OR(F66="Punkt",NOT(ISNUMBER(L66))),"",IF(F66="Mindestprognose",IF(L66&gt;=I66,1,0),IF(AND(ISNUMBER(I66),ISNUMBER(J66),I66&lt;&gt;J66),IF(AND(L66&gt;=I66,L66&lt;=J66),1,0),"")))</f>
        <v>1</v>
      </c>
      <c r="W66" s="26"/>
      <c r="X66" t="str">
        <f t="shared" ref="X66:X129" si="17">IF(OR(F66="qualitativ",F66="fehlend",NOT(ISNUMBER(L66))),"nicht auswertbar",IF(F66="Punkt","Punktprognose",IF(AND(ISNUMBER(I66),ISNUMBER(J66)),IF(L66&lt;I66,"unterhalb",IF(L66&gt;J66,"oberhalb","innerhalb")),"nicht auswertbar")))</f>
        <v>innerhalb</v>
      </c>
      <c r="Y66" s="31" t="str">
        <f t="shared" ref="Y66:Y129" si="18">IF(AND(ISNUMBER(S66),OR(G66="Marge %",G66="Wachstumsrate %")),ABS(S66),"")</f>
        <v/>
      </c>
      <c r="Z66" t="str">
        <f>IFERROR(VLOOKUP(A66,Unternehmen!$A:$D,4,FALSE()),"")</f>
        <v>Automobile</v>
      </c>
    </row>
    <row r="67" spans="1:26" ht="15" customHeight="1" x14ac:dyDescent="0.35">
      <c r="A67" s="23" t="s">
        <v>38</v>
      </c>
      <c r="B67" s="23">
        <v>2022</v>
      </c>
      <c r="C67" s="23" t="s">
        <v>155</v>
      </c>
      <c r="D67" s="23" t="s">
        <v>300</v>
      </c>
      <c r="E67" s="23">
        <v>101</v>
      </c>
      <c r="F67" s="23" t="s">
        <v>137</v>
      </c>
      <c r="G67" s="23" t="s">
        <v>203</v>
      </c>
      <c r="H67" s="23" t="s">
        <v>204</v>
      </c>
      <c r="I67" s="24">
        <v>5.5E-2</v>
      </c>
      <c r="J67" s="24">
        <v>6.5000000000000002E-2</v>
      </c>
      <c r="K67" s="24">
        <f t="shared" si="11"/>
        <v>5.6000000000000001E-2</v>
      </c>
      <c r="L67" s="24">
        <v>0.05</v>
      </c>
      <c r="M67" s="24" t="s">
        <v>303</v>
      </c>
      <c r="N67" s="28" t="s">
        <v>208</v>
      </c>
      <c r="O67" s="23" t="s">
        <v>302</v>
      </c>
      <c r="P67" s="23">
        <v>105</v>
      </c>
      <c r="Q67" s="26"/>
      <c r="R67" s="13">
        <f t="shared" si="12"/>
        <v>0.06</v>
      </c>
      <c r="S67" s="13">
        <f t="shared" si="13"/>
        <v>9.999999999999995E-3</v>
      </c>
      <c r="T67" s="13" t="str">
        <f t="shared" si="14"/>
        <v/>
      </c>
      <c r="U67" s="13" t="str">
        <f t="shared" si="15"/>
        <v/>
      </c>
      <c r="V67" s="14">
        <f t="shared" si="16"/>
        <v>0</v>
      </c>
      <c r="W67" s="26"/>
      <c r="X67" t="str">
        <f t="shared" si="17"/>
        <v>unterhalb</v>
      </c>
      <c r="Y67" s="13">
        <f t="shared" si="18"/>
        <v>9.999999999999995E-3</v>
      </c>
      <c r="Z67" t="str">
        <f>IFERROR(VLOOKUP(A67,Unternehmen!$A:$D,4,FALSE()),"")</f>
        <v>Automobile</v>
      </c>
    </row>
    <row r="68" spans="1:26" ht="15" customHeight="1" x14ac:dyDescent="0.35">
      <c r="A68" s="23" t="s">
        <v>38</v>
      </c>
      <c r="B68" s="23">
        <v>2023</v>
      </c>
      <c r="C68" s="23" t="s">
        <v>15</v>
      </c>
      <c r="D68" s="23" t="s">
        <v>302</v>
      </c>
      <c r="E68" s="23">
        <v>106</v>
      </c>
      <c r="F68" s="23" t="s">
        <v>138</v>
      </c>
      <c r="G68" s="23" t="s">
        <v>220</v>
      </c>
      <c r="H68" s="23" t="s">
        <v>226</v>
      </c>
      <c r="I68" s="25">
        <v>42</v>
      </c>
      <c r="J68" s="25">
        <v>45</v>
      </c>
      <c r="K68" s="25">
        <f t="shared" si="11"/>
        <v>39.4</v>
      </c>
      <c r="L68" s="25">
        <v>41.4</v>
      </c>
      <c r="M68" s="25">
        <f>L68-K68</f>
        <v>2</v>
      </c>
      <c r="N68" s="27" t="s">
        <v>304</v>
      </c>
      <c r="O68" s="23" t="s">
        <v>305</v>
      </c>
      <c r="P68" s="23">
        <v>112</v>
      </c>
      <c r="Q68" s="26"/>
      <c r="R68" s="31">
        <f t="shared" si="12"/>
        <v>43.5</v>
      </c>
      <c r="S68" s="31">
        <f t="shared" si="13"/>
        <v>2.1000000000000014</v>
      </c>
      <c r="T68" s="13">
        <f t="shared" si="14"/>
        <v>5.0724637681159458E-2</v>
      </c>
      <c r="U68" s="13">
        <f t="shared" si="15"/>
        <v>5.0724637681159458E-2</v>
      </c>
      <c r="V68" s="14">
        <f t="shared" si="16"/>
        <v>0</v>
      </c>
      <c r="W68" s="26"/>
      <c r="X68" t="str">
        <f t="shared" si="17"/>
        <v>unterhalb</v>
      </c>
      <c r="Y68" s="31" t="str">
        <f t="shared" si="18"/>
        <v/>
      </c>
      <c r="Z68" t="str">
        <f>IFERROR(VLOOKUP(A68,Unternehmen!$A:$D,4,FALSE()),"")</f>
        <v>Automobile</v>
      </c>
    </row>
    <row r="69" spans="1:26" ht="15" customHeight="1" x14ac:dyDescent="0.35">
      <c r="A69" s="23" t="s">
        <v>38</v>
      </c>
      <c r="B69" s="23">
        <v>2023</v>
      </c>
      <c r="C69" s="23" t="s">
        <v>155</v>
      </c>
      <c r="D69" s="23" t="s">
        <v>302</v>
      </c>
      <c r="E69" s="23">
        <v>106</v>
      </c>
      <c r="F69" s="23" t="s">
        <v>137</v>
      </c>
      <c r="G69" s="23" t="s">
        <v>203</v>
      </c>
      <c r="H69" s="23" t="s">
        <v>204</v>
      </c>
      <c r="I69" s="24">
        <v>5.5E-2</v>
      </c>
      <c r="J69" s="24">
        <v>6.5000000000000002E-2</v>
      </c>
      <c r="K69" s="24">
        <f t="shared" si="11"/>
        <v>0.05</v>
      </c>
      <c r="L69" s="24">
        <v>6.0999999999999999E-2</v>
      </c>
      <c r="M69" s="24" t="s">
        <v>306</v>
      </c>
      <c r="N69" s="28" t="s">
        <v>208</v>
      </c>
      <c r="O69" s="23" t="s">
        <v>305</v>
      </c>
      <c r="P69" s="23">
        <v>112</v>
      </c>
      <c r="Q69" s="26"/>
      <c r="R69" s="13">
        <f t="shared" si="12"/>
        <v>0.06</v>
      </c>
      <c r="S69" s="13">
        <f t="shared" si="13"/>
        <v>-1.0000000000000009E-3</v>
      </c>
      <c r="T69" s="13" t="str">
        <f t="shared" si="14"/>
        <v/>
      </c>
      <c r="U69" s="13" t="str">
        <f t="shared" si="15"/>
        <v/>
      </c>
      <c r="V69" s="14">
        <f t="shared" si="16"/>
        <v>1</v>
      </c>
      <c r="W69" s="26"/>
      <c r="X69" t="str">
        <f t="shared" si="17"/>
        <v>innerhalb</v>
      </c>
      <c r="Y69" s="13">
        <f t="shared" si="18"/>
        <v>1.0000000000000009E-3</v>
      </c>
      <c r="Z69" t="str">
        <f>IFERROR(VLOOKUP(A69,Unternehmen!$A:$D,4,FALSE()),"")</f>
        <v>Automobile</v>
      </c>
    </row>
    <row r="70" spans="1:26" ht="15" customHeight="1" x14ac:dyDescent="0.35">
      <c r="A70" s="23" t="s">
        <v>38</v>
      </c>
      <c r="B70" s="23">
        <v>2024</v>
      </c>
      <c r="C70" s="23" t="s">
        <v>15</v>
      </c>
      <c r="D70" s="23" t="s">
        <v>305</v>
      </c>
      <c r="E70" s="23">
        <v>112</v>
      </c>
      <c r="F70" s="23" t="s">
        <v>138</v>
      </c>
      <c r="G70" s="23" t="s">
        <v>220</v>
      </c>
      <c r="H70" s="23" t="s">
        <v>226</v>
      </c>
      <c r="I70" s="25">
        <v>41</v>
      </c>
      <c r="J70" s="25">
        <v>44</v>
      </c>
      <c r="K70" s="25">
        <f t="shared" si="11"/>
        <v>41.4</v>
      </c>
      <c r="L70" s="25">
        <v>39.700000000000003</v>
      </c>
      <c r="M70" s="25">
        <f>L70-K70</f>
        <v>-1.6999999999999957</v>
      </c>
      <c r="N70" s="27" t="s">
        <v>307</v>
      </c>
      <c r="O70" s="23" t="s">
        <v>308</v>
      </c>
      <c r="P70" s="23">
        <v>94</v>
      </c>
      <c r="Q70" s="26"/>
      <c r="R70" s="31">
        <f t="shared" si="12"/>
        <v>42.5</v>
      </c>
      <c r="S70" s="31">
        <f t="shared" si="13"/>
        <v>2.7999999999999972</v>
      </c>
      <c r="T70" s="13">
        <f t="shared" si="14"/>
        <v>7.0528967254407979E-2</v>
      </c>
      <c r="U70" s="13">
        <f t="shared" si="15"/>
        <v>7.0528967254407979E-2</v>
      </c>
      <c r="V70" s="14">
        <f t="shared" si="16"/>
        <v>0</v>
      </c>
      <c r="W70" s="26"/>
      <c r="X70" t="str">
        <f t="shared" si="17"/>
        <v>unterhalb</v>
      </c>
      <c r="Y70" s="31" t="str">
        <f t="shared" si="18"/>
        <v/>
      </c>
      <c r="Z70" t="str">
        <f>IFERROR(VLOOKUP(A70,Unternehmen!$A:$D,4,FALSE()),"")</f>
        <v>Automobile</v>
      </c>
    </row>
    <row r="71" spans="1:26" ht="15" customHeight="1" x14ac:dyDescent="0.35">
      <c r="A71" s="23" t="s">
        <v>38</v>
      </c>
      <c r="B71" s="23">
        <v>2024</v>
      </c>
      <c r="C71" s="23" t="s">
        <v>155</v>
      </c>
      <c r="D71" s="23" t="s">
        <v>305</v>
      </c>
      <c r="E71" s="23">
        <v>112</v>
      </c>
      <c r="F71" s="23" t="s">
        <v>137</v>
      </c>
      <c r="G71" s="23" t="s">
        <v>203</v>
      </c>
      <c r="H71" s="23" t="s">
        <v>204</v>
      </c>
      <c r="I71" s="24">
        <v>0.06</v>
      </c>
      <c r="J71" s="24">
        <v>7.0000000000000007E-2</v>
      </c>
      <c r="K71" s="24">
        <f t="shared" si="11"/>
        <v>6.0999999999999999E-2</v>
      </c>
      <c r="L71" s="24">
        <v>6.8000000000000005E-2</v>
      </c>
      <c r="M71" s="24" t="s">
        <v>309</v>
      </c>
      <c r="N71" s="28" t="s">
        <v>208</v>
      </c>
      <c r="O71" s="23" t="s">
        <v>308</v>
      </c>
      <c r="P71" s="23">
        <v>94</v>
      </c>
      <c r="Q71" s="26"/>
      <c r="R71" s="13">
        <f t="shared" si="12"/>
        <v>6.5000000000000002E-2</v>
      </c>
      <c r="S71" s="13">
        <f t="shared" si="13"/>
        <v>-3.0000000000000027E-3</v>
      </c>
      <c r="T71" s="13" t="str">
        <f t="shared" si="14"/>
        <v/>
      </c>
      <c r="U71" s="13" t="str">
        <f t="shared" si="15"/>
        <v/>
      </c>
      <c r="V71" s="14">
        <f t="shared" si="16"/>
        <v>1</v>
      </c>
      <c r="W71" s="26"/>
      <c r="X71" t="str">
        <f t="shared" si="17"/>
        <v>innerhalb</v>
      </c>
      <c r="Y71" s="13">
        <f t="shared" si="18"/>
        <v>3.0000000000000027E-3</v>
      </c>
      <c r="Z71" t="str">
        <f>IFERROR(VLOOKUP(A71,Unternehmen!$A:$D,4,FALSE()),"")</f>
        <v>Automobile</v>
      </c>
    </row>
    <row r="72" spans="1:26" ht="15" customHeight="1" x14ac:dyDescent="0.35">
      <c r="A72" s="23" t="s">
        <v>40</v>
      </c>
      <c r="B72" s="23">
        <v>2020</v>
      </c>
      <c r="C72" s="23" t="s">
        <v>15</v>
      </c>
      <c r="D72" s="23" t="s">
        <v>310</v>
      </c>
      <c r="E72" s="35"/>
      <c r="F72" s="35" t="s">
        <v>134</v>
      </c>
      <c r="G72" s="35"/>
      <c r="H72" s="35"/>
      <c r="I72" s="30"/>
      <c r="J72" s="30"/>
      <c r="K72" s="30"/>
      <c r="L72" s="30"/>
      <c r="M72" s="30"/>
      <c r="N72" s="35"/>
      <c r="O72" s="35"/>
      <c r="P72" s="35"/>
      <c r="Q72" s="36" t="s">
        <v>311</v>
      </c>
      <c r="R72" s="31" t="str">
        <f t="shared" si="12"/>
        <v/>
      </c>
      <c r="S72" s="31" t="str">
        <f t="shared" si="13"/>
        <v/>
      </c>
      <c r="T72" s="13" t="str">
        <f t="shared" si="14"/>
        <v/>
      </c>
      <c r="U72" s="13" t="str">
        <f t="shared" si="15"/>
        <v/>
      </c>
      <c r="V72" s="14" t="str">
        <f t="shared" si="16"/>
        <v/>
      </c>
      <c r="W72" s="26"/>
      <c r="X72" t="str">
        <f t="shared" si="17"/>
        <v>nicht auswertbar</v>
      </c>
      <c r="Y72" s="31" t="str">
        <f t="shared" si="18"/>
        <v/>
      </c>
      <c r="Z72" t="str">
        <f>IFERROR(VLOOKUP(A72,Unternehmen!$A:$D,4,FALSE()),"")</f>
        <v>Chemie</v>
      </c>
    </row>
    <row r="73" spans="1:26" ht="15" customHeight="1" x14ac:dyDescent="0.35">
      <c r="A73" s="23" t="s">
        <v>40</v>
      </c>
      <c r="B73" s="23">
        <v>2020</v>
      </c>
      <c r="C73" s="23" t="s">
        <v>155</v>
      </c>
      <c r="D73" s="23" t="s">
        <v>310</v>
      </c>
      <c r="E73" s="35"/>
      <c r="F73" s="35" t="s">
        <v>134</v>
      </c>
      <c r="G73" s="35"/>
      <c r="H73" s="35"/>
      <c r="I73" s="30"/>
      <c r="J73" s="30"/>
      <c r="K73" s="30"/>
      <c r="L73" s="30"/>
      <c r="M73" s="30"/>
      <c r="N73" s="35"/>
      <c r="O73" s="35"/>
      <c r="P73" s="35"/>
      <c r="Q73" s="26"/>
      <c r="R73" s="31" t="str">
        <f t="shared" si="12"/>
        <v/>
      </c>
      <c r="S73" s="31" t="str">
        <f t="shared" si="13"/>
        <v/>
      </c>
      <c r="T73" s="13" t="str">
        <f t="shared" si="14"/>
        <v/>
      </c>
      <c r="U73" s="13" t="str">
        <f t="shared" si="15"/>
        <v/>
      </c>
      <c r="V73" s="14" t="str">
        <f t="shared" si="16"/>
        <v/>
      </c>
      <c r="W73" s="26"/>
      <c r="X73" t="str">
        <f t="shared" si="17"/>
        <v>nicht auswertbar</v>
      </c>
      <c r="Y73" s="31" t="str">
        <f t="shared" si="18"/>
        <v/>
      </c>
      <c r="Z73" t="str">
        <f>IFERROR(VLOOKUP(A73,Unternehmen!$A:$D,4,FALSE()),"")</f>
        <v>Chemie</v>
      </c>
    </row>
    <row r="74" spans="1:26" ht="15" customHeight="1" x14ac:dyDescent="0.35">
      <c r="A74" s="23" t="s">
        <v>40</v>
      </c>
      <c r="B74" s="23">
        <v>2021</v>
      </c>
      <c r="C74" s="23" t="s">
        <v>15</v>
      </c>
      <c r="D74" s="23" t="s">
        <v>312</v>
      </c>
      <c r="E74" s="35"/>
      <c r="F74" s="35" t="s">
        <v>134</v>
      </c>
      <c r="G74" s="35"/>
      <c r="H74" s="35"/>
      <c r="I74" s="30"/>
      <c r="J74" s="30"/>
      <c r="K74" s="30"/>
      <c r="L74" s="30"/>
      <c r="M74" s="30"/>
      <c r="N74" s="35"/>
      <c r="O74" s="35"/>
      <c r="P74" s="35"/>
      <c r="Q74" s="26"/>
      <c r="R74" s="31" t="str">
        <f t="shared" si="12"/>
        <v/>
      </c>
      <c r="S74" s="31" t="str">
        <f t="shared" si="13"/>
        <v/>
      </c>
      <c r="T74" s="13" t="str">
        <f t="shared" si="14"/>
        <v/>
      </c>
      <c r="U74" s="13" t="str">
        <f t="shared" si="15"/>
        <v/>
      </c>
      <c r="V74" s="14" t="str">
        <f t="shared" si="16"/>
        <v/>
      </c>
      <c r="W74" s="26"/>
      <c r="X74" t="str">
        <f t="shared" si="17"/>
        <v>nicht auswertbar</v>
      </c>
      <c r="Y74" s="31" t="str">
        <f t="shared" si="18"/>
        <v/>
      </c>
      <c r="Z74" t="str">
        <f>IFERROR(VLOOKUP(A74,Unternehmen!$A:$D,4,FALSE()),"")</f>
        <v>Chemie</v>
      </c>
    </row>
    <row r="75" spans="1:26" ht="15" customHeight="1" x14ac:dyDescent="0.35">
      <c r="A75" s="23" t="s">
        <v>40</v>
      </c>
      <c r="B75" s="23">
        <v>2021</v>
      </c>
      <c r="C75" s="23" t="s">
        <v>155</v>
      </c>
      <c r="D75" s="23" t="s">
        <v>312</v>
      </c>
      <c r="E75" s="35"/>
      <c r="F75" s="35" t="s">
        <v>134</v>
      </c>
      <c r="G75" s="35"/>
      <c r="H75" s="35"/>
      <c r="I75" s="30"/>
      <c r="J75" s="30"/>
      <c r="K75" s="30"/>
      <c r="L75" s="30"/>
      <c r="M75" s="30"/>
      <c r="N75" s="35"/>
      <c r="O75" s="35"/>
      <c r="P75" s="35"/>
      <c r="Q75" s="26"/>
      <c r="R75" s="31" t="str">
        <f t="shared" si="12"/>
        <v/>
      </c>
      <c r="S75" s="31" t="str">
        <f t="shared" si="13"/>
        <v/>
      </c>
      <c r="T75" s="13" t="str">
        <f t="shared" si="14"/>
        <v/>
      </c>
      <c r="U75" s="13" t="str">
        <f t="shared" si="15"/>
        <v/>
      </c>
      <c r="V75" s="14" t="str">
        <f t="shared" si="16"/>
        <v/>
      </c>
      <c r="W75" s="26"/>
      <c r="X75" t="str">
        <f t="shared" si="17"/>
        <v>nicht auswertbar</v>
      </c>
      <c r="Y75" s="31" t="str">
        <f t="shared" si="18"/>
        <v/>
      </c>
      <c r="Z75" t="str">
        <f>IFERROR(VLOOKUP(A75,Unternehmen!$A:$D,4,FALSE()),"")</f>
        <v>Chemie</v>
      </c>
    </row>
    <row r="76" spans="1:26" ht="15" customHeight="1" x14ac:dyDescent="0.35">
      <c r="A76" s="23" t="s">
        <v>40</v>
      </c>
      <c r="B76" s="23">
        <v>2022</v>
      </c>
      <c r="C76" s="23" t="s">
        <v>15</v>
      </c>
      <c r="D76" s="23" t="s">
        <v>313</v>
      </c>
      <c r="E76" s="35"/>
      <c r="F76" s="35" t="s">
        <v>134</v>
      </c>
      <c r="G76" s="35"/>
      <c r="H76" s="35"/>
      <c r="I76" s="30"/>
      <c r="J76" s="30"/>
      <c r="K76" s="30"/>
      <c r="L76" s="30"/>
      <c r="M76" s="30"/>
      <c r="N76" s="35"/>
      <c r="O76" s="35"/>
      <c r="P76" s="35"/>
      <c r="Q76" s="26" t="s">
        <v>314</v>
      </c>
      <c r="R76" s="31" t="str">
        <f t="shared" si="12"/>
        <v/>
      </c>
      <c r="S76" s="31" t="str">
        <f t="shared" si="13"/>
        <v/>
      </c>
      <c r="T76" s="13" t="str">
        <f t="shared" si="14"/>
        <v/>
      </c>
      <c r="U76" s="13" t="str">
        <f t="shared" si="15"/>
        <v/>
      </c>
      <c r="V76" s="14" t="str">
        <f t="shared" si="16"/>
        <v/>
      </c>
      <c r="W76" s="26"/>
      <c r="X76" t="str">
        <f t="shared" si="17"/>
        <v>nicht auswertbar</v>
      </c>
      <c r="Y76" s="31" t="str">
        <f t="shared" si="18"/>
        <v/>
      </c>
      <c r="Z76" t="str">
        <f>IFERROR(VLOOKUP(A76,Unternehmen!$A:$D,4,FALSE()),"")</f>
        <v>Chemie</v>
      </c>
    </row>
    <row r="77" spans="1:26" ht="15" customHeight="1" x14ac:dyDescent="0.35">
      <c r="A77" s="23" t="s">
        <v>40</v>
      </c>
      <c r="B77" s="23">
        <v>2022</v>
      </c>
      <c r="C77" s="23" t="s">
        <v>155</v>
      </c>
      <c r="D77" s="23" t="s">
        <v>313</v>
      </c>
      <c r="E77" s="23">
        <v>144</v>
      </c>
      <c r="F77" s="23" t="s">
        <v>138</v>
      </c>
      <c r="G77" s="23" t="s">
        <v>220</v>
      </c>
      <c r="H77" s="23" t="s">
        <v>221</v>
      </c>
      <c r="I77" s="25">
        <v>2500</v>
      </c>
      <c r="J77" s="25">
        <v>3000</v>
      </c>
      <c r="K77" s="25">
        <v>3085</v>
      </c>
      <c r="L77" s="25">
        <v>1617</v>
      </c>
      <c r="M77" s="25">
        <f>L77-K77</f>
        <v>-1468</v>
      </c>
      <c r="N77" s="27" t="s">
        <v>315</v>
      </c>
      <c r="O77" s="23" t="s">
        <v>316</v>
      </c>
      <c r="P77" s="23">
        <v>152</v>
      </c>
      <c r="Q77" s="26"/>
      <c r="R77" s="31">
        <f t="shared" si="12"/>
        <v>2750</v>
      </c>
      <c r="S77" s="31">
        <f t="shared" si="13"/>
        <v>1133</v>
      </c>
      <c r="T77" s="13">
        <f t="shared" si="14"/>
        <v>0.70068027210884354</v>
      </c>
      <c r="U77" s="13">
        <f t="shared" si="15"/>
        <v>0.70068027210884354</v>
      </c>
      <c r="V77" s="14">
        <f t="shared" si="16"/>
        <v>0</v>
      </c>
      <c r="W77" s="26"/>
      <c r="X77" t="str">
        <f t="shared" si="17"/>
        <v>unterhalb</v>
      </c>
      <c r="Y77" s="31" t="str">
        <f t="shared" si="18"/>
        <v/>
      </c>
      <c r="Z77" t="str">
        <f>IFERROR(VLOOKUP(A77,Unternehmen!$A:$D,4,FALSE()),"")</f>
        <v>Chemie</v>
      </c>
    </row>
    <row r="78" spans="1:26" ht="15" customHeight="1" x14ac:dyDescent="0.35">
      <c r="A78" s="23" t="s">
        <v>40</v>
      </c>
      <c r="B78" s="23">
        <v>2023</v>
      </c>
      <c r="C78" s="23" t="s">
        <v>15</v>
      </c>
      <c r="D78" s="35"/>
      <c r="E78" s="35"/>
      <c r="F78" s="35" t="s">
        <v>134</v>
      </c>
      <c r="G78" s="35"/>
      <c r="H78" s="35"/>
      <c r="I78" s="30"/>
      <c r="J78" s="30"/>
      <c r="K78" s="30"/>
      <c r="L78" s="30"/>
      <c r="M78" s="30"/>
      <c r="N78" s="35"/>
      <c r="O78" s="35"/>
      <c r="P78" s="35"/>
      <c r="Q78" s="26" t="s">
        <v>314</v>
      </c>
      <c r="R78" s="31" t="str">
        <f t="shared" si="12"/>
        <v/>
      </c>
      <c r="S78" s="31" t="str">
        <f t="shared" si="13"/>
        <v/>
      </c>
      <c r="T78" s="13" t="str">
        <f t="shared" si="14"/>
        <v/>
      </c>
      <c r="U78" s="13" t="str">
        <f t="shared" si="15"/>
        <v/>
      </c>
      <c r="V78" s="14" t="str">
        <f t="shared" si="16"/>
        <v/>
      </c>
      <c r="W78" s="26"/>
      <c r="X78" t="str">
        <f t="shared" si="17"/>
        <v>nicht auswertbar</v>
      </c>
      <c r="Y78" s="31" t="str">
        <f t="shared" si="18"/>
        <v/>
      </c>
      <c r="Z78" t="str">
        <f>IFERROR(VLOOKUP(A78,Unternehmen!$A:$D,4,FALSE()),"")</f>
        <v>Chemie</v>
      </c>
    </row>
    <row r="79" spans="1:26" ht="15" customHeight="1" x14ac:dyDescent="0.35">
      <c r="A79" s="23" t="s">
        <v>40</v>
      </c>
      <c r="B79" s="23">
        <v>2023</v>
      </c>
      <c r="C79" s="23" t="s">
        <v>155</v>
      </c>
      <c r="D79" s="23" t="s">
        <v>316</v>
      </c>
      <c r="E79" s="23">
        <v>152</v>
      </c>
      <c r="F79" s="23" t="s">
        <v>133</v>
      </c>
      <c r="G79" s="23" t="s">
        <v>220</v>
      </c>
      <c r="H79" s="23" t="s">
        <v>221</v>
      </c>
      <c r="I79" s="30"/>
      <c r="J79" s="30"/>
      <c r="K79" s="25">
        <f>L77</f>
        <v>1617</v>
      </c>
      <c r="L79" s="25">
        <v>1080</v>
      </c>
      <c r="M79" s="25">
        <f>L79-K79</f>
        <v>-537</v>
      </c>
      <c r="N79" s="28" t="s">
        <v>208</v>
      </c>
      <c r="O79" s="23" t="s">
        <v>317</v>
      </c>
      <c r="P79" s="23">
        <v>84</v>
      </c>
      <c r="Q79" s="26"/>
      <c r="R79" s="31" t="str">
        <f t="shared" si="12"/>
        <v/>
      </c>
      <c r="S79" s="31" t="str">
        <f t="shared" si="13"/>
        <v/>
      </c>
      <c r="T79" s="13" t="str">
        <f t="shared" si="14"/>
        <v/>
      </c>
      <c r="U79" s="13" t="str">
        <f t="shared" si="15"/>
        <v/>
      </c>
      <c r="V79" s="14" t="str">
        <f t="shared" si="16"/>
        <v/>
      </c>
      <c r="W79" s="26" t="s">
        <v>318</v>
      </c>
      <c r="X79" t="str">
        <f t="shared" si="17"/>
        <v>nicht auswertbar</v>
      </c>
      <c r="Y79" s="31" t="str">
        <f t="shared" si="18"/>
        <v/>
      </c>
      <c r="Z79" t="str">
        <f>IFERROR(VLOOKUP(A79,Unternehmen!$A:$D,4,FALSE()),"")</f>
        <v>Chemie</v>
      </c>
    </row>
    <row r="80" spans="1:26" ht="15" customHeight="1" x14ac:dyDescent="0.35">
      <c r="A80" s="23" t="s">
        <v>40</v>
      </c>
      <c r="B80" s="23">
        <v>2024</v>
      </c>
      <c r="C80" s="23" t="s">
        <v>15</v>
      </c>
      <c r="D80" s="35"/>
      <c r="E80" s="35"/>
      <c r="F80" s="35" t="s">
        <v>134</v>
      </c>
      <c r="G80" s="35"/>
      <c r="H80" s="35"/>
      <c r="I80" s="30"/>
      <c r="J80" s="30"/>
      <c r="K80" s="30"/>
      <c r="L80" s="30"/>
      <c r="M80" s="30"/>
      <c r="N80" s="35"/>
      <c r="O80" s="35"/>
      <c r="P80" s="35"/>
      <c r="Q80" s="26" t="s">
        <v>314</v>
      </c>
      <c r="R80" s="31" t="str">
        <f t="shared" si="12"/>
        <v/>
      </c>
      <c r="S80" s="31" t="str">
        <f t="shared" si="13"/>
        <v/>
      </c>
      <c r="T80" s="13" t="str">
        <f t="shared" si="14"/>
        <v/>
      </c>
      <c r="U80" s="13" t="str">
        <f t="shared" si="15"/>
        <v/>
      </c>
      <c r="V80" s="14" t="str">
        <f t="shared" si="16"/>
        <v/>
      </c>
      <c r="W80" s="26"/>
      <c r="X80" t="str">
        <f t="shared" si="17"/>
        <v>nicht auswertbar</v>
      </c>
      <c r="Y80" s="31" t="str">
        <f t="shared" si="18"/>
        <v/>
      </c>
      <c r="Z80" t="str">
        <f>IFERROR(VLOOKUP(A80,Unternehmen!$A:$D,4,FALSE()),"")</f>
        <v>Chemie</v>
      </c>
    </row>
    <row r="81" spans="1:26" ht="15" customHeight="1" x14ac:dyDescent="0.35">
      <c r="A81" s="23" t="s">
        <v>40</v>
      </c>
      <c r="B81" s="23">
        <v>2024</v>
      </c>
      <c r="C81" s="23" t="s">
        <v>155</v>
      </c>
      <c r="D81" s="23" t="s">
        <v>317</v>
      </c>
      <c r="E81" s="23">
        <v>84</v>
      </c>
      <c r="F81" s="23" t="s">
        <v>138</v>
      </c>
      <c r="G81" s="23" t="s">
        <v>220</v>
      </c>
      <c r="H81" s="23" t="s">
        <v>221</v>
      </c>
      <c r="I81" s="25">
        <v>1000</v>
      </c>
      <c r="J81" s="25">
        <v>1600</v>
      </c>
      <c r="K81" s="25">
        <f>L79</f>
        <v>1080</v>
      </c>
      <c r="L81" s="25">
        <v>1071</v>
      </c>
      <c r="M81" s="25">
        <f>L81-K81</f>
        <v>-9</v>
      </c>
      <c r="N81" s="29" t="s">
        <v>218</v>
      </c>
      <c r="O81" s="23" t="s">
        <v>319</v>
      </c>
      <c r="P81" s="23">
        <v>90</v>
      </c>
      <c r="Q81" s="26"/>
      <c r="R81" s="31">
        <f t="shared" si="12"/>
        <v>1300</v>
      </c>
      <c r="S81" s="31">
        <f t="shared" si="13"/>
        <v>229</v>
      </c>
      <c r="T81" s="13">
        <f t="shared" si="14"/>
        <v>0.2138188608776844</v>
      </c>
      <c r="U81" s="13">
        <f t="shared" si="15"/>
        <v>0.2138188608776844</v>
      </c>
      <c r="V81" s="14">
        <f t="shared" si="16"/>
        <v>1</v>
      </c>
      <c r="W81" s="26"/>
      <c r="X81" t="str">
        <f t="shared" si="17"/>
        <v>innerhalb</v>
      </c>
      <c r="Y81" s="31" t="str">
        <f t="shared" si="18"/>
        <v/>
      </c>
      <c r="Z81" t="str">
        <f>IFERROR(VLOOKUP(A81,Unternehmen!$A:$D,4,FALSE()),"")</f>
        <v>Chemie</v>
      </c>
    </row>
    <row r="82" spans="1:26" ht="15" customHeight="1" x14ac:dyDescent="0.35">
      <c r="A82" s="23" t="s">
        <v>43</v>
      </c>
      <c r="B82" s="23">
        <v>2020</v>
      </c>
      <c r="C82" s="23" t="s">
        <v>15</v>
      </c>
      <c r="D82" s="23" t="s">
        <v>320</v>
      </c>
      <c r="E82" s="23">
        <v>152</v>
      </c>
      <c r="F82" s="23" t="s">
        <v>133</v>
      </c>
      <c r="G82" s="23" t="s">
        <v>220</v>
      </c>
      <c r="H82" s="38" t="s">
        <v>226</v>
      </c>
      <c r="I82" s="30"/>
      <c r="J82" s="30"/>
      <c r="K82" s="25">
        <v>172.75</v>
      </c>
      <c r="L82" s="25">
        <v>154.31</v>
      </c>
      <c r="M82" s="39">
        <f>L82-K82</f>
        <v>-18.439999999999998</v>
      </c>
      <c r="N82" s="39" t="s">
        <v>321</v>
      </c>
      <c r="O82" s="23" t="s">
        <v>322</v>
      </c>
      <c r="P82" s="23">
        <v>2</v>
      </c>
      <c r="Q82" s="26"/>
      <c r="R82" s="31" t="str">
        <f t="shared" si="12"/>
        <v/>
      </c>
      <c r="S82" s="31" t="str">
        <f t="shared" si="13"/>
        <v/>
      </c>
      <c r="T82" s="13" t="str">
        <f t="shared" si="14"/>
        <v/>
      </c>
      <c r="U82" s="13" t="str">
        <f t="shared" si="15"/>
        <v/>
      </c>
      <c r="V82" s="14" t="str">
        <f t="shared" si="16"/>
        <v/>
      </c>
      <c r="W82" s="26" t="s">
        <v>323</v>
      </c>
      <c r="X82" t="str">
        <f t="shared" si="17"/>
        <v>nicht auswertbar</v>
      </c>
      <c r="Y82" s="31" t="str">
        <f t="shared" si="18"/>
        <v/>
      </c>
      <c r="Z82" t="str">
        <f>IFERROR(VLOOKUP(A82,Unternehmen!$A:$D,4,FALSE()),"")</f>
        <v>Automobile</v>
      </c>
    </row>
    <row r="83" spans="1:26" ht="15" customHeight="1" x14ac:dyDescent="0.35">
      <c r="A83" s="23" t="s">
        <v>43</v>
      </c>
      <c r="B83" s="23">
        <v>2020</v>
      </c>
      <c r="C83" s="23" t="s">
        <v>155</v>
      </c>
      <c r="D83" s="23" t="s">
        <v>320</v>
      </c>
      <c r="E83" s="23">
        <v>153</v>
      </c>
      <c r="F83" s="23" t="s">
        <v>137</v>
      </c>
      <c r="G83" s="23" t="s">
        <v>203</v>
      </c>
      <c r="H83" s="38" t="s">
        <v>324</v>
      </c>
      <c r="I83" s="24">
        <v>0.04</v>
      </c>
      <c r="J83" s="24">
        <v>0.05</v>
      </c>
      <c r="K83" s="24">
        <v>5.8000000000000003E-2</v>
      </c>
      <c r="L83" s="24">
        <v>6.9000000000000006E-2</v>
      </c>
      <c r="M83" s="40" t="s">
        <v>306</v>
      </c>
      <c r="N83" s="29" t="s">
        <v>218</v>
      </c>
      <c r="O83" s="23" t="s">
        <v>322</v>
      </c>
      <c r="P83" s="23">
        <v>3</v>
      </c>
      <c r="Q83" s="26"/>
      <c r="R83" s="13">
        <f t="shared" si="12"/>
        <v>4.4999999999999998E-2</v>
      </c>
      <c r="S83" s="13">
        <f t="shared" si="13"/>
        <v>-2.4000000000000007E-2</v>
      </c>
      <c r="T83" s="13" t="str">
        <f t="shared" si="14"/>
        <v/>
      </c>
      <c r="U83" s="13" t="str">
        <f t="shared" si="15"/>
        <v/>
      </c>
      <c r="V83" s="14">
        <f t="shared" si="16"/>
        <v>0</v>
      </c>
      <c r="W83" s="26"/>
      <c r="X83" t="str">
        <f t="shared" si="17"/>
        <v>oberhalb</v>
      </c>
      <c r="Y83" s="13">
        <f t="shared" si="18"/>
        <v>2.4000000000000007E-2</v>
      </c>
      <c r="Z83" t="str">
        <f>IFERROR(VLOOKUP(A83,Unternehmen!$A:$D,4,FALSE()),"")</f>
        <v>Automobile</v>
      </c>
    </row>
    <row r="84" spans="1:26" ht="15" customHeight="1" x14ac:dyDescent="0.35">
      <c r="A84" s="23" t="s">
        <v>43</v>
      </c>
      <c r="B84" s="23">
        <v>2021</v>
      </c>
      <c r="C84" s="23" t="s">
        <v>15</v>
      </c>
      <c r="D84" s="23" t="s">
        <v>322</v>
      </c>
      <c r="E84" s="23">
        <v>132</v>
      </c>
      <c r="F84" s="23" t="s">
        <v>133</v>
      </c>
      <c r="G84" s="23" t="s">
        <v>220</v>
      </c>
      <c r="H84" s="38" t="s">
        <v>226</v>
      </c>
      <c r="I84" s="30"/>
      <c r="J84" s="30"/>
      <c r="K84" s="25">
        <f>L82</f>
        <v>154.31</v>
      </c>
      <c r="L84" s="25">
        <v>167.97</v>
      </c>
      <c r="M84" s="39">
        <f>L84-K84</f>
        <v>13.659999999999997</v>
      </c>
      <c r="N84" s="41" t="s">
        <v>325</v>
      </c>
      <c r="O84" s="23" t="s">
        <v>326</v>
      </c>
      <c r="P84" s="23">
        <v>61</v>
      </c>
      <c r="Q84" s="26"/>
      <c r="R84" s="31" t="str">
        <f t="shared" si="12"/>
        <v/>
      </c>
      <c r="S84" s="31" t="str">
        <f t="shared" si="13"/>
        <v/>
      </c>
      <c r="T84" s="13" t="str">
        <f t="shared" si="14"/>
        <v/>
      </c>
      <c r="U84" s="13" t="str">
        <f t="shared" si="15"/>
        <v/>
      </c>
      <c r="V84" s="14" t="str">
        <f t="shared" si="16"/>
        <v/>
      </c>
      <c r="W84" s="26" t="s">
        <v>327</v>
      </c>
      <c r="X84" t="str">
        <f t="shared" si="17"/>
        <v>nicht auswertbar</v>
      </c>
      <c r="Y84" s="31" t="str">
        <f t="shared" si="18"/>
        <v/>
      </c>
      <c r="Z84" t="str">
        <f>IFERROR(VLOOKUP(A84,Unternehmen!$A:$D,4,FALSE()),"")</f>
        <v>Automobile</v>
      </c>
    </row>
    <row r="85" spans="1:26" ht="15" customHeight="1" x14ac:dyDescent="0.35">
      <c r="A85" s="23" t="s">
        <v>43</v>
      </c>
      <c r="B85" s="23">
        <v>2021</v>
      </c>
      <c r="C85" s="23" t="s">
        <v>155</v>
      </c>
      <c r="D85" s="23" t="s">
        <v>322</v>
      </c>
      <c r="E85" s="23">
        <v>132</v>
      </c>
      <c r="F85" s="23" t="s">
        <v>137</v>
      </c>
      <c r="G85" s="23" t="s">
        <v>203</v>
      </c>
      <c r="H85" s="38" t="s">
        <v>324</v>
      </c>
      <c r="I85" s="24">
        <v>0.08</v>
      </c>
      <c r="J85" s="24">
        <v>0.1</v>
      </c>
      <c r="K85" s="24">
        <f>L83</f>
        <v>6.9000000000000006E-2</v>
      </c>
      <c r="L85" s="24">
        <v>0.127</v>
      </c>
      <c r="M85" s="40" t="s">
        <v>328</v>
      </c>
      <c r="N85" s="29" t="s">
        <v>218</v>
      </c>
      <c r="O85" s="23" t="s">
        <v>326</v>
      </c>
      <c r="P85" s="23">
        <v>346</v>
      </c>
      <c r="Q85" s="26"/>
      <c r="R85" s="13">
        <f t="shared" si="12"/>
        <v>0.09</v>
      </c>
      <c r="S85" s="13">
        <f t="shared" si="13"/>
        <v>-3.7000000000000005E-2</v>
      </c>
      <c r="T85" s="13" t="str">
        <f t="shared" si="14"/>
        <v/>
      </c>
      <c r="U85" s="13" t="str">
        <f t="shared" si="15"/>
        <v/>
      </c>
      <c r="V85" s="14">
        <f t="shared" si="16"/>
        <v>0</v>
      </c>
      <c r="W85" s="26"/>
      <c r="X85" t="str">
        <f t="shared" si="17"/>
        <v>oberhalb</v>
      </c>
      <c r="Y85" s="13">
        <f t="shared" si="18"/>
        <v>3.7000000000000005E-2</v>
      </c>
      <c r="Z85" t="str">
        <f>IFERROR(VLOOKUP(A85,Unternehmen!$A:$D,4,FALSE()),"")</f>
        <v>Automobile</v>
      </c>
    </row>
    <row r="86" spans="1:26" ht="15" customHeight="1" x14ac:dyDescent="0.35">
      <c r="A86" s="23" t="s">
        <v>43</v>
      </c>
      <c r="B86" s="23">
        <v>2022</v>
      </c>
      <c r="C86" s="23" t="s">
        <v>15</v>
      </c>
      <c r="D86" s="23" t="s">
        <v>326</v>
      </c>
      <c r="E86" s="23">
        <v>152</v>
      </c>
      <c r="F86" s="23" t="s">
        <v>133</v>
      </c>
      <c r="G86" s="23" t="s">
        <v>220</v>
      </c>
      <c r="H86" s="38" t="s">
        <v>226</v>
      </c>
      <c r="I86" s="30"/>
      <c r="J86" s="30"/>
      <c r="K86" s="25">
        <v>133.893</v>
      </c>
      <c r="L86" s="25">
        <v>150.017</v>
      </c>
      <c r="M86" s="39">
        <f>L86-K86</f>
        <v>16.123999999999995</v>
      </c>
      <c r="N86" s="42" t="s">
        <v>329</v>
      </c>
      <c r="O86" s="38" t="s">
        <v>330</v>
      </c>
      <c r="P86" s="23">
        <v>57</v>
      </c>
      <c r="Q86" s="26"/>
      <c r="R86" s="31" t="str">
        <f t="shared" si="12"/>
        <v/>
      </c>
      <c r="S86" s="31" t="str">
        <f t="shared" si="13"/>
        <v/>
      </c>
      <c r="T86" s="13" t="str">
        <f t="shared" si="14"/>
        <v/>
      </c>
      <c r="U86" s="13" t="str">
        <f t="shared" si="15"/>
        <v/>
      </c>
      <c r="V86" s="14" t="str">
        <f t="shared" si="16"/>
        <v/>
      </c>
      <c r="W86" s="26" t="s">
        <v>331</v>
      </c>
      <c r="X86" t="str">
        <f t="shared" si="17"/>
        <v>nicht auswertbar</v>
      </c>
      <c r="Y86" s="31" t="str">
        <f t="shared" si="18"/>
        <v/>
      </c>
      <c r="Z86" t="str">
        <f>IFERROR(VLOOKUP(A86,Unternehmen!$A:$D,4,FALSE()),"")</f>
        <v>Automobile</v>
      </c>
    </row>
    <row r="87" spans="1:26" ht="15" customHeight="1" x14ac:dyDescent="0.35">
      <c r="A87" s="23" t="s">
        <v>43</v>
      </c>
      <c r="B87" s="23">
        <v>2022</v>
      </c>
      <c r="C87" s="23" t="s">
        <v>155</v>
      </c>
      <c r="D87" s="23" t="s">
        <v>326</v>
      </c>
      <c r="E87" s="23">
        <v>152</v>
      </c>
      <c r="F87" s="23" t="s">
        <v>137</v>
      </c>
      <c r="G87" s="23" t="s">
        <v>203</v>
      </c>
      <c r="H87" s="38" t="s">
        <v>324</v>
      </c>
      <c r="I87" s="24">
        <v>0.115</v>
      </c>
      <c r="J87" s="24">
        <v>0.13</v>
      </c>
      <c r="K87" s="24">
        <v>0.13100000000000001</v>
      </c>
      <c r="L87" s="24">
        <v>0.14599999999999999</v>
      </c>
      <c r="M87" s="40" t="s">
        <v>332</v>
      </c>
      <c r="N87" s="29" t="s">
        <v>218</v>
      </c>
      <c r="O87" s="38" t="s">
        <v>330</v>
      </c>
      <c r="P87" s="23">
        <v>361</v>
      </c>
      <c r="Q87" s="26"/>
      <c r="R87" s="13">
        <f t="shared" si="12"/>
        <v>0.1225</v>
      </c>
      <c r="S87" s="13">
        <f t="shared" si="13"/>
        <v>-2.3499999999999993E-2</v>
      </c>
      <c r="T87" s="13" t="str">
        <f t="shared" si="14"/>
        <v/>
      </c>
      <c r="U87" s="13" t="str">
        <f t="shared" si="15"/>
        <v/>
      </c>
      <c r="V87" s="14">
        <f t="shared" si="16"/>
        <v>0</v>
      </c>
      <c r="W87" s="26"/>
      <c r="X87" t="str">
        <f t="shared" si="17"/>
        <v>oberhalb</v>
      </c>
      <c r="Y87" s="13">
        <f t="shared" si="18"/>
        <v>2.3499999999999993E-2</v>
      </c>
      <c r="Z87" t="str">
        <f>IFERROR(VLOOKUP(A87,Unternehmen!$A:$D,4,FALSE()),"")</f>
        <v>Automobile</v>
      </c>
    </row>
    <row r="88" spans="1:26" ht="15" customHeight="1" x14ac:dyDescent="0.35">
      <c r="A88" s="23" t="s">
        <v>43</v>
      </c>
      <c r="B88" s="23">
        <v>2023</v>
      </c>
      <c r="C88" s="23" t="s">
        <v>15</v>
      </c>
      <c r="D88" s="38" t="s">
        <v>330</v>
      </c>
      <c r="E88" s="23">
        <v>137</v>
      </c>
      <c r="F88" s="23" t="s">
        <v>133</v>
      </c>
      <c r="G88" s="23" t="s">
        <v>220</v>
      </c>
      <c r="H88" s="38" t="s">
        <v>226</v>
      </c>
      <c r="I88" s="30"/>
      <c r="J88" s="30"/>
      <c r="K88" s="25">
        <f>L86</f>
        <v>150.017</v>
      </c>
      <c r="L88" s="25">
        <v>153.22</v>
      </c>
      <c r="M88" s="39">
        <f>L88-K88</f>
        <v>3.203000000000003</v>
      </c>
      <c r="N88" s="41" t="s">
        <v>333</v>
      </c>
      <c r="O88" s="38" t="s">
        <v>334</v>
      </c>
      <c r="P88" s="23">
        <v>129</v>
      </c>
      <c r="Q88" s="26"/>
      <c r="R88" s="31" t="str">
        <f t="shared" si="12"/>
        <v/>
      </c>
      <c r="S88" s="31" t="str">
        <f t="shared" si="13"/>
        <v/>
      </c>
      <c r="T88" s="13" t="str">
        <f t="shared" si="14"/>
        <v/>
      </c>
      <c r="U88" s="13" t="str">
        <f t="shared" si="15"/>
        <v/>
      </c>
      <c r="V88" s="14" t="str">
        <f t="shared" si="16"/>
        <v/>
      </c>
      <c r="W88" s="26" t="s">
        <v>323</v>
      </c>
      <c r="X88" t="str">
        <f t="shared" si="17"/>
        <v>nicht auswertbar</v>
      </c>
      <c r="Y88" s="31" t="str">
        <f t="shared" si="18"/>
        <v/>
      </c>
      <c r="Z88" t="str">
        <f>IFERROR(VLOOKUP(A88,Unternehmen!$A:$D,4,FALSE()),"")</f>
        <v>Automobile</v>
      </c>
    </row>
    <row r="89" spans="1:26" ht="15" customHeight="1" x14ac:dyDescent="0.35">
      <c r="A89" s="23" t="s">
        <v>43</v>
      </c>
      <c r="B89" s="23">
        <v>2023</v>
      </c>
      <c r="C89" s="23" t="s">
        <v>155</v>
      </c>
      <c r="D89" s="38" t="s">
        <v>330</v>
      </c>
      <c r="E89" s="23">
        <v>136</v>
      </c>
      <c r="F89" s="23" t="s">
        <v>137</v>
      </c>
      <c r="G89" s="23" t="s">
        <v>203</v>
      </c>
      <c r="H89" s="38" t="s">
        <v>324</v>
      </c>
      <c r="I89" s="24">
        <v>0.12</v>
      </c>
      <c r="J89" s="24">
        <v>0.14000000000000001</v>
      </c>
      <c r="K89" s="24">
        <f>L87</f>
        <v>0.14599999999999999</v>
      </c>
      <c r="L89" s="24">
        <v>0.126</v>
      </c>
      <c r="M89" s="40" t="s">
        <v>298</v>
      </c>
      <c r="N89" s="28" t="s">
        <v>208</v>
      </c>
      <c r="O89" s="38" t="s">
        <v>334</v>
      </c>
      <c r="P89" s="23">
        <v>350</v>
      </c>
      <c r="Q89" s="26"/>
      <c r="R89" s="13">
        <f t="shared" si="12"/>
        <v>0.13</v>
      </c>
      <c r="S89" s="13">
        <f t="shared" si="13"/>
        <v>4.0000000000000036E-3</v>
      </c>
      <c r="T89" s="13" t="str">
        <f t="shared" si="14"/>
        <v/>
      </c>
      <c r="U89" s="13" t="str">
        <f t="shared" si="15"/>
        <v/>
      </c>
      <c r="V89" s="14">
        <f t="shared" si="16"/>
        <v>1</v>
      </c>
      <c r="W89" s="26"/>
      <c r="X89" t="str">
        <f t="shared" si="17"/>
        <v>innerhalb</v>
      </c>
      <c r="Y89" s="13">
        <f t="shared" si="18"/>
        <v>4.0000000000000036E-3</v>
      </c>
      <c r="Z89" t="str">
        <f>IFERROR(VLOOKUP(A89,Unternehmen!$A:$D,4,FALSE()),"")</f>
        <v>Automobile</v>
      </c>
    </row>
    <row r="90" spans="1:26" ht="15" customHeight="1" x14ac:dyDescent="0.35">
      <c r="A90" s="23" t="s">
        <v>43</v>
      </c>
      <c r="B90" s="23">
        <v>2024</v>
      </c>
      <c r="C90" s="23" t="s">
        <v>15</v>
      </c>
      <c r="D90" s="38" t="s">
        <v>334</v>
      </c>
      <c r="E90" s="23">
        <v>136</v>
      </c>
      <c r="F90" s="23" t="s">
        <v>133</v>
      </c>
      <c r="G90" s="23" t="s">
        <v>220</v>
      </c>
      <c r="H90" s="38" t="s">
        <v>226</v>
      </c>
      <c r="I90" s="30"/>
      <c r="J90" s="30"/>
      <c r="K90" s="25">
        <f>L88</f>
        <v>153.22</v>
      </c>
      <c r="L90" s="25">
        <v>145.59</v>
      </c>
      <c r="M90" s="39">
        <f>L90-K90</f>
        <v>-7.6299999999999955</v>
      </c>
      <c r="N90" s="38" t="s">
        <v>335</v>
      </c>
      <c r="O90" s="38" t="s">
        <v>336</v>
      </c>
      <c r="P90" s="23">
        <v>82</v>
      </c>
      <c r="Q90" s="26"/>
      <c r="R90" s="31" t="str">
        <f t="shared" si="12"/>
        <v/>
      </c>
      <c r="S90" s="31" t="str">
        <f t="shared" si="13"/>
        <v/>
      </c>
      <c r="T90" s="13" t="str">
        <f t="shared" si="14"/>
        <v/>
      </c>
      <c r="U90" s="13" t="str">
        <f t="shared" si="15"/>
        <v/>
      </c>
      <c r="V90" s="14" t="str">
        <f t="shared" si="16"/>
        <v/>
      </c>
      <c r="W90" s="26" t="s">
        <v>323</v>
      </c>
      <c r="X90" t="str">
        <f t="shared" si="17"/>
        <v>nicht auswertbar</v>
      </c>
      <c r="Y90" s="31" t="str">
        <f t="shared" si="18"/>
        <v/>
      </c>
      <c r="Z90" t="str">
        <f>IFERROR(VLOOKUP(A90,Unternehmen!$A:$D,4,FALSE()),"")</f>
        <v>Automobile</v>
      </c>
    </row>
    <row r="91" spans="1:26" ht="15" customHeight="1" x14ac:dyDescent="0.35">
      <c r="A91" s="23" t="s">
        <v>43</v>
      </c>
      <c r="B91" s="23">
        <v>2024</v>
      </c>
      <c r="C91" s="23" t="s">
        <v>155</v>
      </c>
      <c r="D91" s="38" t="s">
        <v>334</v>
      </c>
      <c r="E91" s="23">
        <v>137</v>
      </c>
      <c r="F91" s="23" t="s">
        <v>137</v>
      </c>
      <c r="G91" s="23" t="s">
        <v>203</v>
      </c>
      <c r="H91" s="38" t="s">
        <v>324</v>
      </c>
      <c r="I91" s="24">
        <v>0.1</v>
      </c>
      <c r="J91" s="24">
        <v>0.12</v>
      </c>
      <c r="K91" s="24">
        <f>L89</f>
        <v>0.126</v>
      </c>
      <c r="L91" s="24">
        <v>8.1000000000000003E-2</v>
      </c>
      <c r="M91" s="40" t="s">
        <v>337</v>
      </c>
      <c r="N91" s="38" t="s">
        <v>338</v>
      </c>
      <c r="O91" s="38" t="s">
        <v>336</v>
      </c>
      <c r="P91" s="23">
        <v>450</v>
      </c>
      <c r="Q91" s="26"/>
      <c r="R91" s="13">
        <f t="shared" si="12"/>
        <v>0.11</v>
      </c>
      <c r="S91" s="13">
        <f t="shared" si="13"/>
        <v>2.8999999999999998E-2</v>
      </c>
      <c r="T91" s="13" t="str">
        <f t="shared" si="14"/>
        <v/>
      </c>
      <c r="U91" s="13" t="str">
        <f t="shared" si="15"/>
        <v/>
      </c>
      <c r="V91" s="14">
        <f t="shared" si="16"/>
        <v>0</v>
      </c>
      <c r="W91" s="26"/>
      <c r="X91" t="str">
        <f t="shared" si="17"/>
        <v>unterhalb</v>
      </c>
      <c r="Y91" s="13">
        <f t="shared" si="18"/>
        <v>2.8999999999999998E-2</v>
      </c>
      <c r="Z91" t="str">
        <f>IFERROR(VLOOKUP(A91,Unternehmen!$A:$D,4,FALSE()),"")</f>
        <v>Automobile</v>
      </c>
    </row>
    <row r="92" spans="1:26" ht="15" customHeight="1" x14ac:dyDescent="0.35">
      <c r="A92" s="38" t="s">
        <v>47</v>
      </c>
      <c r="B92" s="23">
        <v>2020</v>
      </c>
      <c r="C92" s="23" t="s">
        <v>15</v>
      </c>
      <c r="D92" s="38" t="s">
        <v>339</v>
      </c>
      <c r="E92" s="23">
        <v>40</v>
      </c>
      <c r="F92" s="23" t="s">
        <v>133</v>
      </c>
      <c r="G92" s="23" t="s">
        <v>220</v>
      </c>
      <c r="H92" s="38" t="s">
        <v>226</v>
      </c>
      <c r="I92" s="30"/>
      <c r="J92" s="30"/>
      <c r="K92" s="25">
        <v>23.164999999999999</v>
      </c>
      <c r="L92" s="25">
        <v>24.027999999999999</v>
      </c>
      <c r="M92" s="39">
        <f>L92-K92</f>
        <v>0.86299999999999955</v>
      </c>
      <c r="N92" s="29" t="s">
        <v>218</v>
      </c>
      <c r="O92" s="38" t="s">
        <v>340</v>
      </c>
      <c r="P92" s="23">
        <v>299</v>
      </c>
      <c r="Q92" s="26"/>
      <c r="R92" s="31" t="str">
        <f t="shared" si="12"/>
        <v/>
      </c>
      <c r="S92" s="31" t="str">
        <f t="shared" si="13"/>
        <v/>
      </c>
      <c r="T92" s="13" t="str">
        <f t="shared" si="14"/>
        <v/>
      </c>
      <c r="U92" s="13" t="str">
        <f t="shared" si="15"/>
        <v/>
      </c>
      <c r="V92" s="14" t="str">
        <f t="shared" si="16"/>
        <v/>
      </c>
      <c r="W92" s="26" t="s">
        <v>341</v>
      </c>
      <c r="X92" t="str">
        <f t="shared" si="17"/>
        <v>nicht auswertbar</v>
      </c>
      <c r="Y92" s="31" t="str">
        <f t="shared" si="18"/>
        <v/>
      </c>
      <c r="Z92" t="str">
        <f>IFERROR(VLOOKUP(A92,Unternehmen!$A:$D,4,FALSE()),"")</f>
        <v>Banken</v>
      </c>
    </row>
    <row r="93" spans="1:26" ht="15" customHeight="1" x14ac:dyDescent="0.35">
      <c r="A93" s="38" t="s">
        <v>47</v>
      </c>
      <c r="B93" s="23">
        <v>2020</v>
      </c>
      <c r="C93" s="23" t="s">
        <v>155</v>
      </c>
      <c r="D93" s="38" t="s">
        <v>339</v>
      </c>
      <c r="E93" s="23">
        <v>40</v>
      </c>
      <c r="F93" s="23" t="s">
        <v>133</v>
      </c>
      <c r="G93" s="23" t="s">
        <v>203</v>
      </c>
      <c r="H93" s="38" t="s">
        <v>324</v>
      </c>
      <c r="I93" s="30"/>
      <c r="J93" s="30"/>
      <c r="K93" s="24">
        <v>-0.109</v>
      </c>
      <c r="L93" s="24">
        <v>2E-3</v>
      </c>
      <c r="M93" s="40" t="s">
        <v>342</v>
      </c>
      <c r="N93" s="42" t="s">
        <v>343</v>
      </c>
      <c r="O93" s="38" t="s">
        <v>340</v>
      </c>
      <c r="P93" s="23">
        <v>43</v>
      </c>
      <c r="Q93" s="26"/>
      <c r="R93" s="13" t="str">
        <f t="shared" si="12"/>
        <v/>
      </c>
      <c r="S93" s="13" t="str">
        <f t="shared" si="13"/>
        <v/>
      </c>
      <c r="T93" s="13" t="str">
        <f t="shared" si="14"/>
        <v/>
      </c>
      <c r="U93" s="13" t="str">
        <f t="shared" si="15"/>
        <v/>
      </c>
      <c r="V93" s="14" t="str">
        <f t="shared" si="16"/>
        <v/>
      </c>
      <c r="W93" s="26" t="s">
        <v>344</v>
      </c>
      <c r="X93" t="str">
        <f t="shared" si="17"/>
        <v>nicht auswertbar</v>
      </c>
      <c r="Y93" s="13" t="str">
        <f t="shared" si="18"/>
        <v/>
      </c>
      <c r="Z93" t="str">
        <f>IFERROR(VLOOKUP(A93,Unternehmen!$A:$D,4,FALSE()),"")</f>
        <v>Banken</v>
      </c>
    </row>
    <row r="94" spans="1:26" ht="15" customHeight="1" x14ac:dyDescent="0.35">
      <c r="A94" s="38" t="s">
        <v>47</v>
      </c>
      <c r="B94" s="23">
        <v>2021</v>
      </c>
      <c r="C94" s="23" t="s">
        <v>15</v>
      </c>
      <c r="D94" s="38" t="s">
        <v>345</v>
      </c>
      <c r="E94" s="23">
        <v>43</v>
      </c>
      <c r="F94" s="23" t="s">
        <v>133</v>
      </c>
      <c r="G94" s="23" t="s">
        <v>220</v>
      </c>
      <c r="H94" s="38" t="s">
        <v>226</v>
      </c>
      <c r="I94" s="30"/>
      <c r="J94" s="30"/>
      <c r="K94" s="25">
        <v>24.027999999999999</v>
      </c>
      <c r="L94" s="25">
        <v>25.41</v>
      </c>
      <c r="M94" s="39">
        <f>L94-K94</f>
        <v>1.3820000000000014</v>
      </c>
      <c r="N94" s="29" t="s">
        <v>218</v>
      </c>
      <c r="O94" s="38" t="s">
        <v>346</v>
      </c>
      <c r="P94" s="23">
        <v>267</v>
      </c>
      <c r="Q94" s="26"/>
      <c r="R94" s="31" t="str">
        <f t="shared" si="12"/>
        <v/>
      </c>
      <c r="S94" s="31" t="str">
        <f t="shared" si="13"/>
        <v/>
      </c>
      <c r="T94" s="13" t="str">
        <f t="shared" si="14"/>
        <v/>
      </c>
      <c r="U94" s="13" t="str">
        <f t="shared" si="15"/>
        <v/>
      </c>
      <c r="V94" s="14" t="str">
        <f t="shared" si="16"/>
        <v/>
      </c>
      <c r="W94" s="26" t="s">
        <v>341</v>
      </c>
      <c r="X94" t="str">
        <f t="shared" si="17"/>
        <v>nicht auswertbar</v>
      </c>
      <c r="Y94" s="31" t="str">
        <f t="shared" si="18"/>
        <v/>
      </c>
      <c r="Z94" t="str">
        <f>IFERROR(VLOOKUP(A94,Unternehmen!$A:$D,4,FALSE()),"")</f>
        <v>Banken</v>
      </c>
    </row>
    <row r="95" spans="1:26" ht="15" customHeight="1" x14ac:dyDescent="0.35">
      <c r="A95" s="38" t="s">
        <v>47</v>
      </c>
      <c r="B95" s="23">
        <v>2021</v>
      </c>
      <c r="C95" s="23" t="s">
        <v>155</v>
      </c>
      <c r="D95" s="43"/>
      <c r="E95" s="35"/>
      <c r="F95" s="35" t="s">
        <v>134</v>
      </c>
      <c r="G95" s="35"/>
      <c r="H95" s="43"/>
      <c r="I95" s="30"/>
      <c r="J95" s="30"/>
      <c r="K95" s="30"/>
      <c r="L95" s="30"/>
      <c r="M95" s="45"/>
      <c r="N95" s="43"/>
      <c r="O95" s="43"/>
      <c r="P95" s="35"/>
      <c r="Q95" s="26"/>
      <c r="R95" s="31" t="str">
        <f t="shared" si="12"/>
        <v/>
      </c>
      <c r="S95" s="31" t="str">
        <f t="shared" si="13"/>
        <v/>
      </c>
      <c r="T95" s="13" t="str">
        <f t="shared" si="14"/>
        <v/>
      </c>
      <c r="U95" s="13" t="str">
        <f t="shared" si="15"/>
        <v/>
      </c>
      <c r="V95" s="14" t="str">
        <f t="shared" si="16"/>
        <v/>
      </c>
      <c r="W95" s="26"/>
      <c r="X95" t="str">
        <f t="shared" si="17"/>
        <v>nicht auswertbar</v>
      </c>
      <c r="Y95" s="31" t="str">
        <f t="shared" si="18"/>
        <v/>
      </c>
      <c r="Z95" t="str">
        <f>IFERROR(VLOOKUP(A95,Unternehmen!$A:$D,4,FALSE()),"")</f>
        <v>Banken</v>
      </c>
    </row>
    <row r="96" spans="1:26" ht="15" customHeight="1" x14ac:dyDescent="0.35">
      <c r="A96" s="38" t="s">
        <v>47</v>
      </c>
      <c r="B96" s="23">
        <v>2022</v>
      </c>
      <c r="C96" s="23" t="s">
        <v>15</v>
      </c>
      <c r="D96" s="38" t="s">
        <v>346</v>
      </c>
      <c r="E96" s="23">
        <v>45</v>
      </c>
      <c r="F96" s="23" t="s">
        <v>137</v>
      </c>
      <c r="G96" s="23" t="s">
        <v>220</v>
      </c>
      <c r="H96" s="38" t="s">
        <v>226</v>
      </c>
      <c r="I96" s="25">
        <v>26</v>
      </c>
      <c r="J96" s="25">
        <v>27</v>
      </c>
      <c r="K96" s="25">
        <f>L94</f>
        <v>25.41</v>
      </c>
      <c r="L96" s="25">
        <v>27.21</v>
      </c>
      <c r="M96" s="39">
        <f>L96-K96</f>
        <v>1.8000000000000007</v>
      </c>
      <c r="N96" s="29" t="s">
        <v>218</v>
      </c>
      <c r="O96" s="38" t="s">
        <v>347</v>
      </c>
      <c r="P96" s="23">
        <v>268</v>
      </c>
      <c r="Q96" s="26"/>
      <c r="R96" s="31">
        <f t="shared" si="12"/>
        <v>26.5</v>
      </c>
      <c r="S96" s="31">
        <f t="shared" si="13"/>
        <v>-0.71000000000000085</v>
      </c>
      <c r="T96" s="13">
        <f t="shared" si="14"/>
        <v>-2.609334803381113E-2</v>
      </c>
      <c r="U96" s="13">
        <f t="shared" si="15"/>
        <v>2.609334803381113E-2</v>
      </c>
      <c r="V96" s="14">
        <f t="shared" si="16"/>
        <v>0</v>
      </c>
      <c r="W96" s="26"/>
      <c r="X96" t="str">
        <f t="shared" si="17"/>
        <v>oberhalb</v>
      </c>
      <c r="Y96" s="31" t="str">
        <f t="shared" si="18"/>
        <v/>
      </c>
      <c r="Z96" t="str">
        <f>IFERROR(VLOOKUP(A96,Unternehmen!$A:$D,4,FALSE()),"")</f>
        <v>Banken</v>
      </c>
    </row>
    <row r="97" spans="1:26" ht="15" customHeight="1" x14ac:dyDescent="0.35">
      <c r="A97" s="38" t="s">
        <v>47</v>
      </c>
      <c r="B97" s="23">
        <v>2022</v>
      </c>
      <c r="C97" s="23" t="s">
        <v>155</v>
      </c>
      <c r="D97" s="38" t="s">
        <v>346</v>
      </c>
      <c r="E97" s="23">
        <v>45</v>
      </c>
      <c r="F97" s="23" t="s">
        <v>139</v>
      </c>
      <c r="G97" s="23" t="s">
        <v>203</v>
      </c>
      <c r="H97" s="38" t="s">
        <v>324</v>
      </c>
      <c r="I97" s="24">
        <v>0.08</v>
      </c>
      <c r="J97" s="24">
        <v>0.08</v>
      </c>
      <c r="K97" s="24">
        <v>3.7999999999999999E-2</v>
      </c>
      <c r="L97" s="24">
        <v>9.4E-2</v>
      </c>
      <c r="M97" s="40" t="s">
        <v>348</v>
      </c>
      <c r="N97" s="29" t="s">
        <v>218</v>
      </c>
      <c r="O97" s="38" t="s">
        <v>347</v>
      </c>
      <c r="P97" s="23">
        <v>41</v>
      </c>
      <c r="Q97" s="26"/>
      <c r="R97" s="13">
        <f t="shared" si="12"/>
        <v>0.08</v>
      </c>
      <c r="S97" s="13">
        <f t="shared" si="13"/>
        <v>-1.3999999999999999E-2</v>
      </c>
      <c r="T97" s="13" t="str">
        <f t="shared" si="14"/>
        <v/>
      </c>
      <c r="U97" s="13" t="str">
        <f t="shared" si="15"/>
        <v/>
      </c>
      <c r="V97" s="14" t="str">
        <f t="shared" si="16"/>
        <v/>
      </c>
      <c r="W97" s="26"/>
      <c r="X97" t="str">
        <f t="shared" si="17"/>
        <v>Punktprognose</v>
      </c>
      <c r="Y97" s="13">
        <f t="shared" si="18"/>
        <v>1.3999999999999999E-2</v>
      </c>
      <c r="Z97" t="str">
        <f>IFERROR(VLOOKUP(A97,Unternehmen!$A:$D,4,FALSE()),"")</f>
        <v>Banken</v>
      </c>
    </row>
    <row r="98" spans="1:26" ht="15" customHeight="1" x14ac:dyDescent="0.35">
      <c r="A98" s="38" t="s">
        <v>47</v>
      </c>
      <c r="B98" s="23">
        <v>2023</v>
      </c>
      <c r="C98" s="23" t="s">
        <v>15</v>
      </c>
      <c r="D98" s="38" t="s">
        <v>347</v>
      </c>
      <c r="E98" s="23">
        <v>41</v>
      </c>
      <c r="F98" s="23" t="s">
        <v>137</v>
      </c>
      <c r="G98" s="23" t="s">
        <v>220</v>
      </c>
      <c r="H98" s="38" t="s">
        <v>226</v>
      </c>
      <c r="I98" s="25">
        <v>28</v>
      </c>
      <c r="J98" s="25">
        <v>29</v>
      </c>
      <c r="K98" s="25">
        <f>L96</f>
        <v>27.21</v>
      </c>
      <c r="L98" s="25">
        <v>28.879000000000001</v>
      </c>
      <c r="M98" s="39">
        <f>L98-K98</f>
        <v>1.6690000000000005</v>
      </c>
      <c r="N98" s="28" t="s">
        <v>208</v>
      </c>
      <c r="O98" s="38" t="s">
        <v>349</v>
      </c>
      <c r="P98" s="23">
        <v>13</v>
      </c>
      <c r="Q98" s="26"/>
      <c r="R98" s="31">
        <f t="shared" si="12"/>
        <v>28.5</v>
      </c>
      <c r="S98" s="31">
        <f t="shared" si="13"/>
        <v>-0.37900000000000134</v>
      </c>
      <c r="T98" s="13">
        <f t="shared" si="14"/>
        <v>-1.3123723120606714E-2</v>
      </c>
      <c r="U98" s="13">
        <f t="shared" si="15"/>
        <v>1.3123723120606714E-2</v>
      </c>
      <c r="V98" s="14">
        <f t="shared" si="16"/>
        <v>1</v>
      </c>
      <c r="W98" s="26"/>
      <c r="X98" t="str">
        <f t="shared" si="17"/>
        <v>innerhalb</v>
      </c>
      <c r="Y98" s="31" t="str">
        <f t="shared" si="18"/>
        <v/>
      </c>
      <c r="Z98" t="str">
        <f>IFERROR(VLOOKUP(A98,Unternehmen!$A:$D,4,FALSE()),"")</f>
        <v>Banken</v>
      </c>
    </row>
    <row r="99" spans="1:26" ht="15" customHeight="1" x14ac:dyDescent="0.35">
      <c r="A99" s="38" t="s">
        <v>47</v>
      </c>
      <c r="B99" s="23">
        <v>2023</v>
      </c>
      <c r="C99" s="23" t="s">
        <v>155</v>
      </c>
      <c r="D99" s="46"/>
      <c r="E99" s="46"/>
      <c r="F99" s="35" t="s">
        <v>134</v>
      </c>
      <c r="G99" s="35"/>
      <c r="H99" s="43"/>
      <c r="I99" s="44"/>
      <c r="J99" s="30"/>
      <c r="K99" s="30"/>
      <c r="L99" s="30"/>
      <c r="M99" s="45"/>
      <c r="N99" s="43"/>
      <c r="O99" s="43"/>
      <c r="P99" s="35"/>
      <c r="Q99" s="26"/>
      <c r="R99" s="31" t="str">
        <f t="shared" si="12"/>
        <v/>
      </c>
      <c r="S99" s="31" t="str">
        <f t="shared" si="13"/>
        <v/>
      </c>
      <c r="T99" s="13" t="str">
        <f t="shared" si="14"/>
        <v/>
      </c>
      <c r="U99" s="13" t="str">
        <f t="shared" si="15"/>
        <v/>
      </c>
      <c r="V99" s="14" t="str">
        <f t="shared" si="16"/>
        <v/>
      </c>
      <c r="W99" s="26"/>
      <c r="X99" t="str">
        <f t="shared" si="17"/>
        <v>nicht auswertbar</v>
      </c>
      <c r="Y99" s="31" t="str">
        <f t="shared" si="18"/>
        <v/>
      </c>
      <c r="Z99" t="str">
        <f>IFERROR(VLOOKUP(A99,Unternehmen!$A:$D,4,FALSE()),"")</f>
        <v>Banken</v>
      </c>
    </row>
    <row r="100" spans="1:26" ht="15" customHeight="1" x14ac:dyDescent="0.35">
      <c r="A100" s="38" t="s">
        <v>47</v>
      </c>
      <c r="B100" s="23">
        <v>2024</v>
      </c>
      <c r="C100" s="23" t="s">
        <v>15</v>
      </c>
      <c r="D100" s="38" t="s">
        <v>349</v>
      </c>
      <c r="E100" s="23">
        <v>46</v>
      </c>
      <c r="F100" s="23" t="s">
        <v>139</v>
      </c>
      <c r="G100" s="23" t="s">
        <v>220</v>
      </c>
      <c r="H100" s="38" t="s">
        <v>226</v>
      </c>
      <c r="I100" s="25">
        <v>30</v>
      </c>
      <c r="J100" s="25">
        <v>30</v>
      </c>
      <c r="K100" s="25">
        <f>L98</f>
        <v>28.879000000000001</v>
      </c>
      <c r="L100" s="25">
        <v>30.091999999999999</v>
      </c>
      <c r="M100" s="39">
        <f>L100-K100</f>
        <v>1.2129999999999974</v>
      </c>
      <c r="N100" s="28" t="s">
        <v>208</v>
      </c>
      <c r="O100" s="38" t="s">
        <v>350</v>
      </c>
      <c r="P100" s="23">
        <v>488</v>
      </c>
      <c r="Q100" s="26"/>
      <c r="R100" s="31">
        <f t="shared" si="12"/>
        <v>30</v>
      </c>
      <c r="S100" s="31">
        <f t="shared" si="13"/>
        <v>-9.1999999999998749E-2</v>
      </c>
      <c r="T100" s="13">
        <f t="shared" si="14"/>
        <v>-3.0572909743452996E-3</v>
      </c>
      <c r="U100" s="13">
        <f t="shared" si="15"/>
        <v>3.0572909743452996E-3</v>
      </c>
      <c r="V100" s="14" t="str">
        <f t="shared" si="16"/>
        <v/>
      </c>
      <c r="W100" s="26"/>
      <c r="X100" t="str">
        <f t="shared" si="17"/>
        <v>Punktprognose</v>
      </c>
      <c r="Y100" s="31" t="str">
        <f t="shared" si="18"/>
        <v/>
      </c>
      <c r="Z100" t="str">
        <f>IFERROR(VLOOKUP(A100,Unternehmen!$A:$D,4,FALSE()),"")</f>
        <v>Banken</v>
      </c>
    </row>
    <row r="101" spans="1:26" ht="15" customHeight="1" x14ac:dyDescent="0.35">
      <c r="A101" s="38" t="s">
        <v>47</v>
      </c>
      <c r="B101" s="23">
        <v>2024</v>
      </c>
      <c r="C101" s="23" t="s">
        <v>155</v>
      </c>
      <c r="D101" s="35"/>
      <c r="E101" s="35"/>
      <c r="F101" s="35" t="s">
        <v>134</v>
      </c>
      <c r="G101" s="35"/>
      <c r="H101" s="35"/>
      <c r="I101" s="30"/>
      <c r="J101" s="30"/>
      <c r="K101" s="30"/>
      <c r="L101" s="30"/>
      <c r="M101" s="30"/>
      <c r="N101" s="30"/>
      <c r="O101" s="35"/>
      <c r="P101" s="35"/>
      <c r="Q101" s="26"/>
      <c r="R101" s="31" t="str">
        <f t="shared" si="12"/>
        <v/>
      </c>
      <c r="S101" s="31" t="str">
        <f t="shared" si="13"/>
        <v/>
      </c>
      <c r="T101" s="13" t="str">
        <f t="shared" si="14"/>
        <v/>
      </c>
      <c r="U101" s="13" t="str">
        <f t="shared" si="15"/>
        <v/>
      </c>
      <c r="V101" s="14" t="str">
        <f t="shared" si="16"/>
        <v/>
      </c>
      <c r="W101" s="26"/>
      <c r="X101" t="str">
        <f t="shared" si="17"/>
        <v>nicht auswertbar</v>
      </c>
      <c r="Y101" s="31" t="str">
        <f t="shared" si="18"/>
        <v/>
      </c>
      <c r="Z101" t="str">
        <f>IFERROR(VLOOKUP(A101,Unternehmen!$A:$D,4,FALSE()),"")</f>
        <v>Banken</v>
      </c>
    </row>
    <row r="102" spans="1:26" ht="15" customHeight="1" x14ac:dyDescent="0.35">
      <c r="A102" s="38" t="s">
        <v>53</v>
      </c>
      <c r="B102" s="23">
        <v>2020</v>
      </c>
      <c r="C102" s="23" t="s">
        <v>15</v>
      </c>
      <c r="D102" s="38" t="s">
        <v>351</v>
      </c>
      <c r="E102" s="23">
        <v>97</v>
      </c>
      <c r="F102" s="23" t="s">
        <v>137</v>
      </c>
      <c r="G102" s="23" t="s">
        <v>220</v>
      </c>
      <c r="H102" s="38" t="s">
        <v>226</v>
      </c>
      <c r="I102" s="25">
        <v>3.08</v>
      </c>
      <c r="J102" s="25">
        <v>3.08</v>
      </c>
      <c r="K102" s="25">
        <v>2.9359999999999999</v>
      </c>
      <c r="L102" s="25">
        <v>3.2139000000000002</v>
      </c>
      <c r="M102" s="25">
        <f>L102-K102</f>
        <v>0.27790000000000026</v>
      </c>
      <c r="N102" s="28" t="s">
        <v>208</v>
      </c>
      <c r="O102" s="38" t="s">
        <v>352</v>
      </c>
      <c r="P102" s="23">
        <v>110</v>
      </c>
      <c r="Q102" s="26"/>
      <c r="R102" s="31">
        <f t="shared" si="12"/>
        <v>3.08</v>
      </c>
      <c r="S102" s="31">
        <f t="shared" si="13"/>
        <v>-0.13390000000000013</v>
      </c>
      <c r="T102" s="13">
        <f t="shared" si="14"/>
        <v>-4.1662777311055145E-2</v>
      </c>
      <c r="U102" s="13">
        <f t="shared" si="15"/>
        <v>4.1662777311055145E-2</v>
      </c>
      <c r="V102" s="14" t="str">
        <f t="shared" si="16"/>
        <v/>
      </c>
      <c r="W102" s="26"/>
      <c r="X102" t="str">
        <f t="shared" si="17"/>
        <v>oberhalb</v>
      </c>
      <c r="Y102" s="31" t="str">
        <f t="shared" si="18"/>
        <v/>
      </c>
      <c r="Z102" t="str">
        <f>IFERROR(VLOOKUP(A102,Unternehmen!$A:$D,4,FALSE()),"")</f>
        <v>Finanzdienstleister</v>
      </c>
    </row>
    <row r="103" spans="1:26" ht="15" customHeight="1" x14ac:dyDescent="0.35">
      <c r="A103" s="38" t="s">
        <v>53</v>
      </c>
      <c r="B103" s="23">
        <v>2020</v>
      </c>
      <c r="C103" s="23" t="s">
        <v>155</v>
      </c>
      <c r="D103" s="43"/>
      <c r="E103" s="35"/>
      <c r="F103" s="35" t="s">
        <v>134</v>
      </c>
      <c r="G103" s="35"/>
      <c r="H103" s="35"/>
      <c r="I103" s="30"/>
      <c r="J103" s="30"/>
      <c r="K103" s="30"/>
      <c r="L103" s="30"/>
      <c r="M103" s="30"/>
      <c r="N103" s="30"/>
      <c r="O103" s="35"/>
      <c r="P103" s="35"/>
      <c r="Q103" s="26"/>
      <c r="R103" s="31" t="str">
        <f t="shared" si="12"/>
        <v/>
      </c>
      <c r="S103" s="31" t="str">
        <f t="shared" si="13"/>
        <v/>
      </c>
      <c r="T103" s="13" t="str">
        <f t="shared" si="14"/>
        <v/>
      </c>
      <c r="U103" s="13" t="str">
        <f t="shared" si="15"/>
        <v/>
      </c>
      <c r="V103" s="14" t="str">
        <f t="shared" si="16"/>
        <v/>
      </c>
      <c r="W103" s="26"/>
      <c r="X103" t="str">
        <f t="shared" si="17"/>
        <v>nicht auswertbar</v>
      </c>
      <c r="Y103" s="31" t="str">
        <f t="shared" si="18"/>
        <v/>
      </c>
      <c r="Z103" t="str">
        <f>IFERROR(VLOOKUP(A103,Unternehmen!$A:$D,4,FALSE()),"")</f>
        <v>Finanzdienstleister</v>
      </c>
    </row>
    <row r="104" spans="1:26" ht="15" customHeight="1" x14ac:dyDescent="0.35">
      <c r="A104" s="38" t="s">
        <v>53</v>
      </c>
      <c r="B104" s="23">
        <v>2021</v>
      </c>
      <c r="C104" s="23" t="s">
        <v>15</v>
      </c>
      <c r="D104" s="38" t="s">
        <v>352</v>
      </c>
      <c r="E104" s="23">
        <v>110</v>
      </c>
      <c r="F104" s="23" t="s">
        <v>139</v>
      </c>
      <c r="G104" s="23" t="s">
        <v>220</v>
      </c>
      <c r="H104" s="38" t="s">
        <v>226</v>
      </c>
      <c r="I104" s="25">
        <v>3.5</v>
      </c>
      <c r="J104" s="25">
        <v>3.5</v>
      </c>
      <c r="K104" s="25">
        <f>L102</f>
        <v>3.2139000000000002</v>
      </c>
      <c r="L104" s="25">
        <v>3.5095000000000001</v>
      </c>
      <c r="M104" s="25">
        <f t="shared" ref="M104:M111" si="19">L104-K104</f>
        <v>0.29559999999999986</v>
      </c>
      <c r="N104" s="28" t="s">
        <v>208</v>
      </c>
      <c r="O104" s="38" t="s">
        <v>353</v>
      </c>
      <c r="P104" s="23">
        <v>115</v>
      </c>
      <c r="Q104" s="26"/>
      <c r="R104" s="31">
        <f t="shared" si="12"/>
        <v>3.5</v>
      </c>
      <c r="S104" s="31">
        <f t="shared" si="13"/>
        <v>-9.5000000000000639E-3</v>
      </c>
      <c r="T104" s="13">
        <f t="shared" si="14"/>
        <v>-2.706938310300631E-3</v>
      </c>
      <c r="U104" s="13">
        <f t="shared" si="15"/>
        <v>2.706938310300631E-3</v>
      </c>
      <c r="V104" s="14" t="str">
        <f t="shared" si="16"/>
        <v/>
      </c>
      <c r="W104" s="26"/>
      <c r="X104" t="str">
        <f t="shared" si="17"/>
        <v>Punktprognose</v>
      </c>
      <c r="Y104" s="31" t="str">
        <f t="shared" si="18"/>
        <v/>
      </c>
      <c r="Z104" t="str">
        <f>IFERROR(VLOOKUP(A104,Unternehmen!$A:$D,4,FALSE()),"")</f>
        <v>Finanzdienstleister</v>
      </c>
    </row>
    <row r="105" spans="1:26" ht="15" customHeight="1" x14ac:dyDescent="0.35">
      <c r="A105" s="38" t="s">
        <v>53</v>
      </c>
      <c r="B105" s="23">
        <v>2021</v>
      </c>
      <c r="C105" s="23" t="s">
        <v>155</v>
      </c>
      <c r="D105" s="38" t="s">
        <v>352</v>
      </c>
      <c r="E105" s="23">
        <v>110</v>
      </c>
      <c r="F105" s="23" t="s">
        <v>139</v>
      </c>
      <c r="G105" s="23" t="s">
        <v>220</v>
      </c>
      <c r="H105" s="38" t="s">
        <v>226</v>
      </c>
      <c r="I105" s="25">
        <v>2</v>
      </c>
      <c r="J105" s="25">
        <v>2</v>
      </c>
      <c r="K105" s="25">
        <v>1.8776999999999999</v>
      </c>
      <c r="L105" s="25">
        <v>2.0430999999999999</v>
      </c>
      <c r="M105" s="25">
        <f t="shared" si="19"/>
        <v>0.16539999999999999</v>
      </c>
      <c r="N105" s="28" t="s">
        <v>208</v>
      </c>
      <c r="O105" s="38" t="s">
        <v>353</v>
      </c>
      <c r="P105" s="23">
        <v>115</v>
      </c>
      <c r="Q105" s="26"/>
      <c r="R105" s="31">
        <f t="shared" si="12"/>
        <v>2</v>
      </c>
      <c r="S105" s="31">
        <f t="shared" si="13"/>
        <v>-4.3099999999999916E-2</v>
      </c>
      <c r="T105" s="13">
        <f t="shared" si="14"/>
        <v>-2.1095394253829926E-2</v>
      </c>
      <c r="U105" s="13">
        <f t="shared" si="15"/>
        <v>2.1095394253829926E-2</v>
      </c>
      <c r="V105" s="14" t="str">
        <f t="shared" si="16"/>
        <v/>
      </c>
      <c r="W105" s="26"/>
      <c r="X105" t="str">
        <f t="shared" si="17"/>
        <v>Punktprognose</v>
      </c>
      <c r="Y105" s="31" t="str">
        <f t="shared" si="18"/>
        <v/>
      </c>
      <c r="Z105" t="str">
        <f>IFERROR(VLOOKUP(A105,Unternehmen!$A:$D,4,FALSE()),"")</f>
        <v>Finanzdienstleister</v>
      </c>
    </row>
    <row r="106" spans="1:26" ht="15" customHeight="1" x14ac:dyDescent="0.35">
      <c r="A106" s="38" t="s">
        <v>53</v>
      </c>
      <c r="B106" s="23">
        <v>2022</v>
      </c>
      <c r="C106" s="23" t="s">
        <v>15</v>
      </c>
      <c r="D106" s="38" t="s">
        <v>353</v>
      </c>
      <c r="E106" s="23">
        <v>115</v>
      </c>
      <c r="F106" s="23" t="s">
        <v>139</v>
      </c>
      <c r="G106" s="23" t="s">
        <v>220</v>
      </c>
      <c r="H106" s="38" t="s">
        <v>226</v>
      </c>
      <c r="I106" s="25">
        <v>3.8</v>
      </c>
      <c r="J106" s="25">
        <v>3.8</v>
      </c>
      <c r="K106" s="25">
        <f t="shared" ref="K106:K111" si="20">L104</f>
        <v>3.5095000000000001</v>
      </c>
      <c r="L106" s="25">
        <v>4.3376000000000001</v>
      </c>
      <c r="M106" s="25">
        <f t="shared" si="19"/>
        <v>0.82810000000000006</v>
      </c>
      <c r="N106" s="29" t="s">
        <v>218</v>
      </c>
      <c r="O106" s="38" t="s">
        <v>354</v>
      </c>
      <c r="P106" s="23">
        <v>92</v>
      </c>
      <c r="Q106" s="26"/>
      <c r="R106" s="31">
        <f t="shared" si="12"/>
        <v>3.8</v>
      </c>
      <c r="S106" s="31">
        <f t="shared" si="13"/>
        <v>-0.5376000000000003</v>
      </c>
      <c r="T106" s="13">
        <f t="shared" si="14"/>
        <v>-0.1239395057174475</v>
      </c>
      <c r="U106" s="13">
        <f t="shared" si="15"/>
        <v>0.1239395057174475</v>
      </c>
      <c r="V106" s="14" t="str">
        <f t="shared" si="16"/>
        <v/>
      </c>
      <c r="W106" s="26"/>
      <c r="X106" t="str">
        <f t="shared" si="17"/>
        <v>Punktprognose</v>
      </c>
      <c r="Y106" s="31" t="str">
        <f t="shared" si="18"/>
        <v/>
      </c>
      <c r="Z106" t="str">
        <f>IFERROR(VLOOKUP(A106,Unternehmen!$A:$D,4,FALSE()),"")</f>
        <v>Finanzdienstleister</v>
      </c>
    </row>
    <row r="107" spans="1:26" ht="15" customHeight="1" x14ac:dyDescent="0.35">
      <c r="A107" s="38" t="s">
        <v>53</v>
      </c>
      <c r="B107" s="23">
        <v>2022</v>
      </c>
      <c r="C107" s="23" t="s">
        <v>155</v>
      </c>
      <c r="D107" s="38" t="s">
        <v>353</v>
      </c>
      <c r="E107" s="23">
        <v>115</v>
      </c>
      <c r="F107" s="23" t="s">
        <v>139</v>
      </c>
      <c r="G107" s="23" t="s">
        <v>220</v>
      </c>
      <c r="H107" s="38" t="s">
        <v>226</v>
      </c>
      <c r="I107" s="25">
        <v>2.2000000000000002</v>
      </c>
      <c r="J107" s="25">
        <v>2.2000000000000002</v>
      </c>
      <c r="K107" s="25">
        <f t="shared" si="20"/>
        <v>2.0430999999999999</v>
      </c>
      <c r="L107" s="25">
        <v>2.5255999999999998</v>
      </c>
      <c r="M107" s="25">
        <f t="shared" si="19"/>
        <v>0.48249999999999993</v>
      </c>
      <c r="N107" s="29" t="s">
        <v>218</v>
      </c>
      <c r="O107" s="38" t="s">
        <v>354</v>
      </c>
      <c r="P107" s="23">
        <v>92</v>
      </c>
      <c r="Q107" s="26"/>
      <c r="R107" s="31">
        <f t="shared" si="12"/>
        <v>2.2000000000000002</v>
      </c>
      <c r="S107" s="31">
        <f t="shared" si="13"/>
        <v>-0.32559999999999967</v>
      </c>
      <c r="T107" s="13">
        <f t="shared" si="14"/>
        <v>-0.12891986062717758</v>
      </c>
      <c r="U107" s="13">
        <f t="shared" si="15"/>
        <v>0.12891986062717758</v>
      </c>
      <c r="V107" s="14" t="str">
        <f t="shared" si="16"/>
        <v/>
      </c>
      <c r="W107" s="26"/>
      <c r="X107" t="str">
        <f t="shared" si="17"/>
        <v>Punktprognose</v>
      </c>
      <c r="Y107" s="31" t="str">
        <f t="shared" si="18"/>
        <v/>
      </c>
      <c r="Z107" t="str">
        <f>IFERROR(VLOOKUP(A107,Unternehmen!$A:$D,4,FALSE()),"")</f>
        <v>Finanzdienstleister</v>
      </c>
    </row>
    <row r="108" spans="1:26" ht="15" customHeight="1" x14ac:dyDescent="0.35">
      <c r="A108" s="38" t="s">
        <v>53</v>
      </c>
      <c r="B108" s="23">
        <v>2023</v>
      </c>
      <c r="C108" s="23" t="s">
        <v>15</v>
      </c>
      <c r="D108" s="38" t="s">
        <v>354</v>
      </c>
      <c r="E108" s="23">
        <v>92</v>
      </c>
      <c r="F108" s="23" t="s">
        <v>137</v>
      </c>
      <c r="G108" s="23" t="s">
        <v>220</v>
      </c>
      <c r="H108" s="38" t="s">
        <v>226</v>
      </c>
      <c r="I108" s="25">
        <v>4.5</v>
      </c>
      <c r="J108" s="25">
        <v>4.7</v>
      </c>
      <c r="K108" s="25">
        <f t="shared" si="20"/>
        <v>4.3376000000000001</v>
      </c>
      <c r="L108" s="25">
        <v>5.0766</v>
      </c>
      <c r="M108" s="25">
        <f t="shared" si="19"/>
        <v>0.73899999999999988</v>
      </c>
      <c r="N108" s="29" t="s">
        <v>218</v>
      </c>
      <c r="O108" s="38" t="s">
        <v>355</v>
      </c>
      <c r="P108" s="23">
        <v>89</v>
      </c>
      <c r="Q108" s="26"/>
      <c r="R108" s="31">
        <f t="shared" si="12"/>
        <v>4.5999999999999996</v>
      </c>
      <c r="S108" s="31">
        <f t="shared" si="13"/>
        <v>-0.47660000000000036</v>
      </c>
      <c r="T108" s="13">
        <f t="shared" si="14"/>
        <v>-9.3881731867785589E-2</v>
      </c>
      <c r="U108" s="13">
        <f t="shared" si="15"/>
        <v>9.3881731867785589E-2</v>
      </c>
      <c r="V108" s="14">
        <f t="shared" si="16"/>
        <v>0</v>
      </c>
      <c r="W108" s="26"/>
      <c r="X108" t="str">
        <f t="shared" si="17"/>
        <v>oberhalb</v>
      </c>
      <c r="Y108" s="31" t="str">
        <f t="shared" si="18"/>
        <v/>
      </c>
      <c r="Z108" t="str">
        <f>IFERROR(VLOOKUP(A108,Unternehmen!$A:$D,4,FALSE()),"")</f>
        <v>Finanzdienstleister</v>
      </c>
    </row>
    <row r="109" spans="1:26" ht="15" customHeight="1" x14ac:dyDescent="0.35">
      <c r="A109" s="38" t="s">
        <v>53</v>
      </c>
      <c r="B109" s="23">
        <v>2023</v>
      </c>
      <c r="C109" s="23" t="s">
        <v>155</v>
      </c>
      <c r="D109" s="38" t="s">
        <v>354</v>
      </c>
      <c r="E109" s="23">
        <v>92</v>
      </c>
      <c r="F109" s="23" t="s">
        <v>137</v>
      </c>
      <c r="G109" s="23" t="s">
        <v>220</v>
      </c>
      <c r="H109" s="38" t="s">
        <v>226</v>
      </c>
      <c r="I109" s="25">
        <v>2.6</v>
      </c>
      <c r="J109" s="25">
        <v>2.8</v>
      </c>
      <c r="K109" s="25">
        <f t="shared" si="20"/>
        <v>2.5255999999999998</v>
      </c>
      <c r="L109" s="25">
        <v>2.9443000000000001</v>
      </c>
      <c r="M109" s="25">
        <f t="shared" si="19"/>
        <v>0.41870000000000029</v>
      </c>
      <c r="N109" s="29" t="s">
        <v>218</v>
      </c>
      <c r="O109" s="38" t="s">
        <v>355</v>
      </c>
      <c r="P109" s="23">
        <v>89</v>
      </c>
      <c r="Q109" s="26"/>
      <c r="R109" s="31">
        <f t="shared" si="12"/>
        <v>2.7</v>
      </c>
      <c r="S109" s="31">
        <f t="shared" si="13"/>
        <v>-0.24429999999999996</v>
      </c>
      <c r="T109" s="13">
        <f t="shared" si="14"/>
        <v>-8.2973881737594651E-2</v>
      </c>
      <c r="U109" s="13">
        <f t="shared" si="15"/>
        <v>8.2973881737594651E-2</v>
      </c>
      <c r="V109" s="14">
        <f t="shared" si="16"/>
        <v>0</v>
      </c>
      <c r="W109" s="26"/>
      <c r="X109" t="str">
        <f t="shared" si="17"/>
        <v>oberhalb</v>
      </c>
      <c r="Y109" s="31" t="str">
        <f t="shared" si="18"/>
        <v/>
      </c>
      <c r="Z109" t="str">
        <f>IFERROR(VLOOKUP(A109,Unternehmen!$A:$D,4,FALSE()),"")</f>
        <v>Finanzdienstleister</v>
      </c>
    </row>
    <row r="110" spans="1:26" ht="15" customHeight="1" x14ac:dyDescent="0.35">
      <c r="A110" s="38" t="s">
        <v>53</v>
      </c>
      <c r="B110" s="23">
        <v>2024</v>
      </c>
      <c r="C110" s="23" t="s">
        <v>15</v>
      </c>
      <c r="D110" s="38" t="s">
        <v>355</v>
      </c>
      <c r="E110" s="23">
        <v>89</v>
      </c>
      <c r="F110" s="23" t="s">
        <v>137</v>
      </c>
      <c r="G110" s="23" t="s">
        <v>220</v>
      </c>
      <c r="H110" s="38" t="s">
        <v>226</v>
      </c>
      <c r="I110" s="25">
        <v>5.6</v>
      </c>
      <c r="J110" s="25"/>
      <c r="K110" s="25">
        <f t="shared" si="20"/>
        <v>5.0766</v>
      </c>
      <c r="L110" s="39">
        <v>5.8285</v>
      </c>
      <c r="M110" s="25">
        <f t="shared" si="19"/>
        <v>0.75190000000000001</v>
      </c>
      <c r="N110" s="28" t="s">
        <v>208</v>
      </c>
      <c r="O110" s="38" t="s">
        <v>356</v>
      </c>
      <c r="P110" s="23">
        <v>178</v>
      </c>
      <c r="Q110" s="26"/>
      <c r="R110" s="31">
        <f t="shared" si="12"/>
        <v>5.6</v>
      </c>
      <c r="S110" s="31">
        <f t="shared" si="13"/>
        <v>-0.22850000000000037</v>
      </c>
      <c r="T110" s="13">
        <f t="shared" si="14"/>
        <v>-3.9203911812644827E-2</v>
      </c>
      <c r="U110" s="13">
        <f t="shared" si="15"/>
        <v>3.9203911812644827E-2</v>
      </c>
      <c r="V110" s="14" t="str">
        <f t="shared" si="16"/>
        <v/>
      </c>
      <c r="W110" s="26" t="s">
        <v>357</v>
      </c>
      <c r="X110" t="str">
        <f t="shared" si="17"/>
        <v>nicht auswertbar</v>
      </c>
      <c r="Y110" s="31" t="str">
        <f t="shared" si="18"/>
        <v/>
      </c>
      <c r="Z110" t="str">
        <f>IFERROR(VLOOKUP(A110,Unternehmen!$A:$D,4,FALSE()),"")</f>
        <v>Finanzdienstleister</v>
      </c>
    </row>
    <row r="111" spans="1:26" ht="15" customHeight="1" x14ac:dyDescent="0.35">
      <c r="A111" s="38" t="s">
        <v>53</v>
      </c>
      <c r="B111" s="23">
        <v>2024</v>
      </c>
      <c r="C111" s="23" t="s">
        <v>155</v>
      </c>
      <c r="D111" s="38" t="s">
        <v>355</v>
      </c>
      <c r="E111" s="23">
        <v>89</v>
      </c>
      <c r="F111" s="23" t="s">
        <v>137</v>
      </c>
      <c r="G111" s="23" t="s">
        <v>220</v>
      </c>
      <c r="H111" s="38" t="s">
        <v>226</v>
      </c>
      <c r="I111" s="25">
        <v>3.2</v>
      </c>
      <c r="J111" s="25"/>
      <c r="K111" s="25">
        <f t="shared" si="20"/>
        <v>2.9443000000000001</v>
      </c>
      <c r="L111" s="25">
        <v>3.3956</v>
      </c>
      <c r="M111" s="25">
        <f t="shared" si="19"/>
        <v>0.45129999999999981</v>
      </c>
      <c r="N111" s="28" t="s">
        <v>208</v>
      </c>
      <c r="O111" s="38" t="s">
        <v>356</v>
      </c>
      <c r="P111" s="23">
        <v>178</v>
      </c>
      <c r="Q111" s="26"/>
      <c r="R111" s="31">
        <f t="shared" si="12"/>
        <v>3.2</v>
      </c>
      <c r="S111" s="31">
        <f t="shared" si="13"/>
        <v>-0.19559999999999977</v>
      </c>
      <c r="T111" s="13">
        <f t="shared" si="14"/>
        <v>-5.7603958063376065E-2</v>
      </c>
      <c r="U111" s="13">
        <f t="shared" si="15"/>
        <v>5.7603958063376065E-2</v>
      </c>
      <c r="V111" s="14" t="str">
        <f t="shared" si="16"/>
        <v/>
      </c>
      <c r="W111" s="26" t="s">
        <v>358</v>
      </c>
      <c r="X111" t="str">
        <f t="shared" si="17"/>
        <v>nicht auswertbar</v>
      </c>
      <c r="Y111" s="31" t="str">
        <f t="shared" si="18"/>
        <v/>
      </c>
      <c r="Z111" t="str">
        <f>IFERROR(VLOOKUP(A111,Unternehmen!$A:$D,4,FALSE()),"")</f>
        <v>Finanzdienstleister</v>
      </c>
    </row>
    <row r="112" spans="1:26" ht="15" customHeight="1" x14ac:dyDescent="0.35">
      <c r="A112" s="38" t="s">
        <v>57</v>
      </c>
      <c r="B112" s="23">
        <v>2020</v>
      </c>
      <c r="C112" s="23" t="s">
        <v>15</v>
      </c>
      <c r="D112" s="43"/>
      <c r="E112" s="35"/>
      <c r="F112" s="35" t="s">
        <v>134</v>
      </c>
      <c r="G112" s="35"/>
      <c r="H112" s="43"/>
      <c r="I112" s="47"/>
      <c r="J112" s="48"/>
      <c r="K112" s="30"/>
      <c r="L112" s="30"/>
      <c r="M112" s="30"/>
      <c r="N112" s="43"/>
      <c r="O112" s="43"/>
      <c r="P112" s="35"/>
      <c r="Q112" s="26"/>
      <c r="R112" s="31" t="str">
        <f t="shared" si="12"/>
        <v/>
      </c>
      <c r="S112" s="31" t="str">
        <f t="shared" si="13"/>
        <v/>
      </c>
      <c r="T112" s="13" t="str">
        <f t="shared" si="14"/>
        <v/>
      </c>
      <c r="U112" s="13" t="str">
        <f t="shared" si="15"/>
        <v/>
      </c>
      <c r="V112" s="14" t="str">
        <f t="shared" si="16"/>
        <v/>
      </c>
      <c r="W112" s="26"/>
      <c r="X112" t="str">
        <f t="shared" si="17"/>
        <v>nicht auswertbar</v>
      </c>
      <c r="Y112" s="31" t="str">
        <f t="shared" si="18"/>
        <v/>
      </c>
      <c r="Z112" t="str">
        <f>IFERROR(VLOOKUP(A112,Unternehmen!$A:$D,4,FALSE()),"")</f>
        <v>Transport &amp; Logistik</v>
      </c>
    </row>
    <row r="113" spans="1:26" ht="15" customHeight="1" x14ac:dyDescent="0.35">
      <c r="A113" s="38" t="s">
        <v>57</v>
      </c>
      <c r="B113" s="23">
        <v>2020</v>
      </c>
      <c r="C113" s="23" t="s">
        <v>155</v>
      </c>
      <c r="D113" s="38" t="s">
        <v>359</v>
      </c>
      <c r="E113" s="23">
        <v>34</v>
      </c>
      <c r="F113" s="23" t="s">
        <v>137</v>
      </c>
      <c r="G113" s="23" t="s">
        <v>220</v>
      </c>
      <c r="H113" s="38" t="s">
        <v>226</v>
      </c>
      <c r="I113" s="25">
        <v>5</v>
      </c>
      <c r="J113" s="25"/>
      <c r="K113" s="25">
        <v>4.0999999999999996</v>
      </c>
      <c r="L113" s="25">
        <v>4.8</v>
      </c>
      <c r="M113" s="25">
        <f>L113-K113</f>
        <v>0.70000000000000018</v>
      </c>
      <c r="N113" s="38" t="s">
        <v>360</v>
      </c>
      <c r="O113" s="38" t="s">
        <v>361</v>
      </c>
      <c r="P113" s="23">
        <v>27</v>
      </c>
      <c r="Q113" s="26"/>
      <c r="R113" s="31">
        <f t="shared" si="12"/>
        <v>5</v>
      </c>
      <c r="S113" s="31">
        <f t="shared" si="13"/>
        <v>0.20000000000000018</v>
      </c>
      <c r="T113" s="13">
        <f t="shared" si="14"/>
        <v>4.1666666666666706E-2</v>
      </c>
      <c r="U113" s="13">
        <f t="shared" si="15"/>
        <v>4.1666666666666706E-2</v>
      </c>
      <c r="V113" s="14" t="str">
        <f t="shared" si="16"/>
        <v/>
      </c>
      <c r="W113" s="26" t="s">
        <v>362</v>
      </c>
      <c r="X113" t="str">
        <f t="shared" si="17"/>
        <v>nicht auswertbar</v>
      </c>
      <c r="Y113" s="31" t="str">
        <f t="shared" si="18"/>
        <v/>
      </c>
      <c r="Z113" t="str">
        <f>IFERROR(VLOOKUP(A113,Unternehmen!$A:$D,4,FALSE()),"")</f>
        <v>Transport &amp; Logistik</v>
      </c>
    </row>
    <row r="114" spans="1:26" ht="15" customHeight="1" x14ac:dyDescent="0.35">
      <c r="A114" s="38" t="s">
        <v>57</v>
      </c>
      <c r="B114" s="23">
        <v>2021</v>
      </c>
      <c r="C114" s="23" t="s">
        <v>15</v>
      </c>
      <c r="D114" s="43"/>
      <c r="E114" s="35"/>
      <c r="F114" s="35" t="s">
        <v>134</v>
      </c>
      <c r="G114" s="35"/>
      <c r="H114" s="43"/>
      <c r="I114" s="47"/>
      <c r="J114" s="48"/>
      <c r="K114" s="30"/>
      <c r="L114" s="30"/>
      <c r="M114" s="30"/>
      <c r="N114" s="43"/>
      <c r="O114" s="43"/>
      <c r="P114" s="35"/>
      <c r="Q114" s="26"/>
      <c r="R114" s="31" t="str">
        <f t="shared" si="12"/>
        <v/>
      </c>
      <c r="S114" s="31" t="str">
        <f t="shared" si="13"/>
        <v/>
      </c>
      <c r="T114" s="13" t="str">
        <f t="shared" si="14"/>
        <v/>
      </c>
      <c r="U114" s="13" t="str">
        <f t="shared" si="15"/>
        <v/>
      </c>
      <c r="V114" s="14" t="str">
        <f t="shared" si="16"/>
        <v/>
      </c>
      <c r="W114" s="26"/>
      <c r="X114" t="str">
        <f t="shared" si="17"/>
        <v>nicht auswertbar</v>
      </c>
      <c r="Y114" s="31" t="str">
        <f t="shared" si="18"/>
        <v/>
      </c>
      <c r="Z114" t="str">
        <f>IFERROR(VLOOKUP(A114,Unternehmen!$A:$D,4,FALSE()),"")</f>
        <v>Transport &amp; Logistik</v>
      </c>
    </row>
    <row r="115" spans="1:26" ht="15" customHeight="1" x14ac:dyDescent="0.35">
      <c r="A115" s="38" t="s">
        <v>57</v>
      </c>
      <c r="B115" s="23">
        <v>2021</v>
      </c>
      <c r="C115" s="23" t="s">
        <v>155</v>
      </c>
      <c r="D115" s="38" t="s">
        <v>361</v>
      </c>
      <c r="E115" s="23">
        <v>27</v>
      </c>
      <c r="F115" s="23" t="s">
        <v>137</v>
      </c>
      <c r="G115" s="23" t="s">
        <v>220</v>
      </c>
      <c r="H115" s="38" t="s">
        <v>226</v>
      </c>
      <c r="I115" s="25">
        <v>5.6</v>
      </c>
      <c r="J115" s="25"/>
      <c r="K115" s="25">
        <f>L113</f>
        <v>4.8</v>
      </c>
      <c r="L115" s="25">
        <v>8</v>
      </c>
      <c r="M115" s="25">
        <f>L115-K115</f>
        <v>3.2</v>
      </c>
      <c r="N115" s="28" t="s">
        <v>208</v>
      </c>
      <c r="O115" s="38" t="s">
        <v>363</v>
      </c>
      <c r="P115" s="23">
        <v>28</v>
      </c>
      <c r="Q115" s="26"/>
      <c r="R115" s="31">
        <f t="shared" si="12"/>
        <v>5.6</v>
      </c>
      <c r="S115" s="31">
        <f t="shared" si="13"/>
        <v>-2.4000000000000004</v>
      </c>
      <c r="T115" s="13">
        <f t="shared" si="14"/>
        <v>-0.30000000000000004</v>
      </c>
      <c r="U115" s="13">
        <f t="shared" si="15"/>
        <v>0.30000000000000004</v>
      </c>
      <c r="V115" s="14" t="str">
        <f t="shared" si="16"/>
        <v/>
      </c>
      <c r="W115" s="26" t="s">
        <v>357</v>
      </c>
      <c r="X115" t="str">
        <f t="shared" si="17"/>
        <v>nicht auswertbar</v>
      </c>
      <c r="Y115" s="31" t="str">
        <f t="shared" si="18"/>
        <v/>
      </c>
      <c r="Z115" t="str">
        <f>IFERROR(VLOOKUP(A115,Unternehmen!$A:$D,4,FALSE()),"")</f>
        <v>Transport &amp; Logistik</v>
      </c>
    </row>
    <row r="116" spans="1:26" ht="15" customHeight="1" x14ac:dyDescent="0.35">
      <c r="A116" s="38" t="s">
        <v>57</v>
      </c>
      <c r="B116" s="23">
        <v>2022</v>
      </c>
      <c r="C116" s="23" t="s">
        <v>15</v>
      </c>
      <c r="D116" s="43"/>
      <c r="E116" s="35"/>
      <c r="F116" s="35" t="s">
        <v>134</v>
      </c>
      <c r="G116" s="35"/>
      <c r="H116" s="43"/>
      <c r="I116" s="47"/>
      <c r="J116" s="48"/>
      <c r="K116" s="30"/>
      <c r="L116" s="30"/>
      <c r="M116" s="30"/>
      <c r="N116" s="43"/>
      <c r="O116" s="43"/>
      <c r="P116" s="35"/>
      <c r="Q116" s="26"/>
      <c r="R116" s="31" t="str">
        <f t="shared" si="12"/>
        <v/>
      </c>
      <c r="S116" s="31" t="str">
        <f t="shared" si="13"/>
        <v/>
      </c>
      <c r="T116" s="13" t="str">
        <f t="shared" si="14"/>
        <v/>
      </c>
      <c r="U116" s="13" t="str">
        <f t="shared" si="15"/>
        <v/>
      </c>
      <c r="V116" s="14" t="str">
        <f t="shared" si="16"/>
        <v/>
      </c>
      <c r="W116" s="26"/>
      <c r="X116" t="str">
        <f t="shared" si="17"/>
        <v>nicht auswertbar</v>
      </c>
      <c r="Y116" s="31" t="str">
        <f t="shared" si="18"/>
        <v/>
      </c>
      <c r="Z116" t="str">
        <f>IFERROR(VLOOKUP(A116,Unternehmen!$A:$D,4,FALSE()),"")</f>
        <v>Transport &amp; Logistik</v>
      </c>
    </row>
    <row r="117" spans="1:26" ht="15" customHeight="1" x14ac:dyDescent="0.35">
      <c r="A117" s="38" t="s">
        <v>57</v>
      </c>
      <c r="B117" s="23">
        <v>2022</v>
      </c>
      <c r="C117" s="23" t="s">
        <v>155</v>
      </c>
      <c r="D117" s="38" t="s">
        <v>363</v>
      </c>
      <c r="E117" s="23">
        <v>28</v>
      </c>
      <c r="F117" s="23" t="s">
        <v>138</v>
      </c>
      <c r="G117" s="23" t="s">
        <v>220</v>
      </c>
      <c r="H117" s="38" t="s">
        <v>226</v>
      </c>
      <c r="I117" s="25">
        <v>7.6</v>
      </c>
      <c r="J117" s="25">
        <v>8.4</v>
      </c>
      <c r="K117" s="25">
        <f>L115</f>
        <v>8</v>
      </c>
      <c r="L117" s="25">
        <v>8.4</v>
      </c>
      <c r="M117" s="25">
        <f>L117-K117</f>
        <v>0.40000000000000036</v>
      </c>
      <c r="N117" s="28" t="s">
        <v>208</v>
      </c>
      <c r="O117" s="38" t="s">
        <v>364</v>
      </c>
      <c r="P117" s="23">
        <v>29</v>
      </c>
      <c r="Q117" s="26"/>
      <c r="R117" s="31">
        <f t="shared" si="12"/>
        <v>8</v>
      </c>
      <c r="S117" s="31">
        <f t="shared" si="13"/>
        <v>-0.40000000000000036</v>
      </c>
      <c r="T117" s="13">
        <f t="shared" si="14"/>
        <v>-4.7619047619047658E-2</v>
      </c>
      <c r="U117" s="13">
        <f t="shared" si="15"/>
        <v>4.7619047619047658E-2</v>
      </c>
      <c r="V117" s="14">
        <f t="shared" si="16"/>
        <v>1</v>
      </c>
      <c r="W117" s="26"/>
      <c r="X117" t="str">
        <f t="shared" si="17"/>
        <v>innerhalb</v>
      </c>
      <c r="Y117" s="31" t="str">
        <f t="shared" si="18"/>
        <v/>
      </c>
      <c r="Z117" t="str">
        <f>IFERROR(VLOOKUP(A117,Unternehmen!$A:$D,4,FALSE()),"")</f>
        <v>Transport &amp; Logistik</v>
      </c>
    </row>
    <row r="118" spans="1:26" ht="15" customHeight="1" x14ac:dyDescent="0.35">
      <c r="A118" s="38" t="s">
        <v>57</v>
      </c>
      <c r="B118" s="23">
        <v>2023</v>
      </c>
      <c r="C118" s="23" t="s">
        <v>15</v>
      </c>
      <c r="D118" s="43"/>
      <c r="E118" s="35"/>
      <c r="F118" s="35" t="s">
        <v>134</v>
      </c>
      <c r="G118" s="35"/>
      <c r="H118" s="43"/>
      <c r="I118" s="47"/>
      <c r="J118" s="48"/>
      <c r="K118" s="30"/>
      <c r="L118" s="30"/>
      <c r="M118" s="30"/>
      <c r="N118" s="43"/>
      <c r="O118" s="43"/>
      <c r="P118" s="35"/>
      <c r="Q118" s="26"/>
      <c r="R118" s="31" t="str">
        <f t="shared" si="12"/>
        <v/>
      </c>
      <c r="S118" s="31" t="str">
        <f t="shared" si="13"/>
        <v/>
      </c>
      <c r="T118" s="13" t="str">
        <f t="shared" si="14"/>
        <v/>
      </c>
      <c r="U118" s="13" t="str">
        <f t="shared" si="15"/>
        <v/>
      </c>
      <c r="V118" s="14" t="str">
        <f t="shared" si="16"/>
        <v/>
      </c>
      <c r="W118" s="26"/>
      <c r="X118" t="str">
        <f t="shared" si="17"/>
        <v>nicht auswertbar</v>
      </c>
      <c r="Y118" s="31" t="str">
        <f t="shared" si="18"/>
        <v/>
      </c>
      <c r="Z118" t="str">
        <f>IFERROR(VLOOKUP(A118,Unternehmen!$A:$D,4,FALSE()),"")</f>
        <v>Transport &amp; Logistik</v>
      </c>
    </row>
    <row r="119" spans="1:26" ht="15" customHeight="1" x14ac:dyDescent="0.35">
      <c r="A119" s="38" t="s">
        <v>57</v>
      </c>
      <c r="B119" s="23">
        <v>2023</v>
      </c>
      <c r="C119" s="23" t="s">
        <v>155</v>
      </c>
      <c r="D119" s="38" t="s">
        <v>364</v>
      </c>
      <c r="E119" s="23">
        <v>29</v>
      </c>
      <c r="F119" s="23" t="s">
        <v>138</v>
      </c>
      <c r="G119" s="23" t="s">
        <v>220</v>
      </c>
      <c r="H119" s="38" t="s">
        <v>226</v>
      </c>
      <c r="I119" s="25">
        <v>6</v>
      </c>
      <c r="J119" s="25">
        <v>7</v>
      </c>
      <c r="K119" s="25">
        <f>L117</f>
        <v>8.4</v>
      </c>
      <c r="L119" s="25">
        <v>6.3</v>
      </c>
      <c r="M119" s="25">
        <f>L119-K119</f>
        <v>-2.1000000000000005</v>
      </c>
      <c r="N119" s="28" t="s">
        <v>208</v>
      </c>
      <c r="O119" s="38" t="s">
        <v>365</v>
      </c>
      <c r="P119" s="23">
        <v>37</v>
      </c>
      <c r="Q119" s="26"/>
      <c r="R119" s="31">
        <f t="shared" si="12"/>
        <v>6.5</v>
      </c>
      <c r="S119" s="31">
        <f t="shared" si="13"/>
        <v>0.20000000000000018</v>
      </c>
      <c r="T119" s="13">
        <f t="shared" si="14"/>
        <v>3.1746031746031772E-2</v>
      </c>
      <c r="U119" s="13">
        <f t="shared" si="15"/>
        <v>3.1746031746031772E-2</v>
      </c>
      <c r="V119" s="14">
        <f t="shared" si="16"/>
        <v>1</v>
      </c>
      <c r="W119" s="26"/>
      <c r="X119" t="str">
        <f t="shared" si="17"/>
        <v>innerhalb</v>
      </c>
      <c r="Y119" s="31" t="str">
        <f t="shared" si="18"/>
        <v/>
      </c>
      <c r="Z119" t="str">
        <f>IFERROR(VLOOKUP(A119,Unternehmen!$A:$D,4,FALSE()),"")</f>
        <v>Transport &amp; Logistik</v>
      </c>
    </row>
    <row r="120" spans="1:26" ht="15" customHeight="1" x14ac:dyDescent="0.35">
      <c r="A120" s="38" t="s">
        <v>57</v>
      </c>
      <c r="B120" s="23">
        <v>2024</v>
      </c>
      <c r="C120" s="23" t="s">
        <v>15</v>
      </c>
      <c r="D120" s="43"/>
      <c r="E120" s="35"/>
      <c r="F120" s="35" t="s">
        <v>134</v>
      </c>
      <c r="G120" s="35"/>
      <c r="H120" s="43"/>
      <c r="I120" s="47"/>
      <c r="J120" s="48"/>
      <c r="K120" s="30"/>
      <c r="L120" s="30"/>
      <c r="M120" s="30"/>
      <c r="N120" s="43"/>
      <c r="O120" s="43"/>
      <c r="P120" s="35"/>
      <c r="Q120" s="26"/>
      <c r="R120" s="31" t="str">
        <f t="shared" si="12"/>
        <v/>
      </c>
      <c r="S120" s="31" t="str">
        <f t="shared" si="13"/>
        <v/>
      </c>
      <c r="T120" s="13" t="str">
        <f t="shared" si="14"/>
        <v/>
      </c>
      <c r="U120" s="13" t="str">
        <f t="shared" si="15"/>
        <v/>
      </c>
      <c r="V120" s="14" t="str">
        <f t="shared" si="16"/>
        <v/>
      </c>
      <c r="W120" s="26"/>
      <c r="X120" t="str">
        <f t="shared" si="17"/>
        <v>nicht auswertbar</v>
      </c>
      <c r="Y120" s="31" t="str">
        <f t="shared" si="18"/>
        <v/>
      </c>
      <c r="Z120" t="str">
        <f>IFERROR(VLOOKUP(A120,Unternehmen!$A:$D,4,FALSE()),"")</f>
        <v>Transport &amp; Logistik</v>
      </c>
    </row>
    <row r="121" spans="1:26" ht="15" customHeight="1" x14ac:dyDescent="0.35">
      <c r="A121" s="38" t="s">
        <v>57</v>
      </c>
      <c r="B121" s="23">
        <v>2024</v>
      </c>
      <c r="C121" s="23" t="s">
        <v>155</v>
      </c>
      <c r="D121" s="38" t="s">
        <v>365</v>
      </c>
      <c r="E121" s="23">
        <v>37</v>
      </c>
      <c r="F121" s="23" t="s">
        <v>138</v>
      </c>
      <c r="G121" s="23" t="s">
        <v>220</v>
      </c>
      <c r="H121" s="38" t="s">
        <v>226</v>
      </c>
      <c r="I121" s="25">
        <v>6</v>
      </c>
      <c r="J121" s="25">
        <v>6.6</v>
      </c>
      <c r="K121" s="25">
        <f>L119</f>
        <v>6.3</v>
      </c>
      <c r="L121" s="25">
        <v>5.9</v>
      </c>
      <c r="M121" s="25">
        <f t="shared" ref="M121:M131" si="21">L121-K121</f>
        <v>-0.39999999999999947</v>
      </c>
      <c r="N121" s="38" t="s">
        <v>366</v>
      </c>
      <c r="O121" s="38" t="s">
        <v>367</v>
      </c>
      <c r="P121" s="23">
        <v>34</v>
      </c>
      <c r="Q121" s="26"/>
      <c r="R121" s="31">
        <f t="shared" si="12"/>
        <v>6.3</v>
      </c>
      <c r="S121" s="31">
        <f t="shared" si="13"/>
        <v>0.39999999999999947</v>
      </c>
      <c r="T121" s="13">
        <f t="shared" si="14"/>
        <v>6.7796610169491428E-2</v>
      </c>
      <c r="U121" s="13">
        <f t="shared" si="15"/>
        <v>6.7796610169491428E-2</v>
      </c>
      <c r="V121" s="14">
        <f t="shared" si="16"/>
        <v>0</v>
      </c>
      <c r="W121" s="26"/>
      <c r="X121" t="str">
        <f t="shared" si="17"/>
        <v>unterhalb</v>
      </c>
      <c r="Y121" s="31" t="str">
        <f t="shared" si="18"/>
        <v/>
      </c>
      <c r="Z121" t="str">
        <f>IFERROR(VLOOKUP(A121,Unternehmen!$A:$D,4,FALSE()),"")</f>
        <v>Transport &amp; Logistik</v>
      </c>
    </row>
    <row r="122" spans="1:26" ht="15" customHeight="1" x14ac:dyDescent="0.35">
      <c r="A122" s="38" t="s">
        <v>62</v>
      </c>
      <c r="B122" s="23">
        <v>2020</v>
      </c>
      <c r="C122" s="23" t="s">
        <v>15</v>
      </c>
      <c r="D122" s="38" t="s">
        <v>368</v>
      </c>
      <c r="E122" s="23">
        <v>106</v>
      </c>
      <c r="F122" s="23" t="s">
        <v>133</v>
      </c>
      <c r="G122" s="23" t="s">
        <v>220</v>
      </c>
      <c r="H122" s="38" t="s">
        <v>226</v>
      </c>
      <c r="I122" s="30"/>
      <c r="J122" s="30"/>
      <c r="K122" s="25">
        <v>80.5</v>
      </c>
      <c r="L122" s="25">
        <v>101</v>
      </c>
      <c r="M122" s="25">
        <f t="shared" si="21"/>
        <v>20.5</v>
      </c>
      <c r="N122" s="28" t="s">
        <v>208</v>
      </c>
      <c r="O122" s="38" t="s">
        <v>369</v>
      </c>
      <c r="P122" s="23">
        <v>109</v>
      </c>
      <c r="Q122" s="26"/>
      <c r="R122" s="31" t="str">
        <f t="shared" si="12"/>
        <v/>
      </c>
      <c r="S122" s="31" t="str">
        <f t="shared" si="13"/>
        <v/>
      </c>
      <c r="T122" s="13" t="str">
        <f t="shared" si="14"/>
        <v/>
      </c>
      <c r="U122" s="13" t="str">
        <f t="shared" si="15"/>
        <v/>
      </c>
      <c r="V122" s="14" t="str">
        <f t="shared" si="16"/>
        <v/>
      </c>
      <c r="W122" s="26" t="s">
        <v>370</v>
      </c>
      <c r="X122" t="str">
        <f t="shared" si="17"/>
        <v>nicht auswertbar</v>
      </c>
      <c r="Y122" s="31" t="str">
        <f t="shared" si="18"/>
        <v/>
      </c>
      <c r="Z122" t="str">
        <f>IFERROR(VLOOKUP(A122,Unternehmen!$A:$D,4,FALSE()),"")</f>
        <v>Telekommunikation</v>
      </c>
    </row>
    <row r="123" spans="1:26" ht="15" customHeight="1" x14ac:dyDescent="0.35">
      <c r="A123" s="38" t="s">
        <v>62</v>
      </c>
      <c r="B123" s="23">
        <v>2020</v>
      </c>
      <c r="C123" s="23" t="s">
        <v>155</v>
      </c>
      <c r="D123" s="38" t="s">
        <v>368</v>
      </c>
      <c r="E123" s="23">
        <v>106</v>
      </c>
      <c r="F123" s="23" t="s">
        <v>139</v>
      </c>
      <c r="G123" s="23" t="s">
        <v>220</v>
      </c>
      <c r="H123" s="38" t="s">
        <v>226</v>
      </c>
      <c r="I123" s="25">
        <v>25.5</v>
      </c>
      <c r="J123" s="25">
        <v>25.5</v>
      </c>
      <c r="K123" s="25">
        <v>24.7</v>
      </c>
      <c r="L123" s="25">
        <v>35</v>
      </c>
      <c r="M123" s="25">
        <f t="shared" si="21"/>
        <v>10.3</v>
      </c>
      <c r="N123" s="29" t="s">
        <v>218</v>
      </c>
      <c r="O123" s="38" t="s">
        <v>369</v>
      </c>
      <c r="P123" s="23">
        <v>109</v>
      </c>
      <c r="Q123" s="26"/>
      <c r="R123" s="31">
        <f t="shared" si="12"/>
        <v>25.5</v>
      </c>
      <c r="S123" s="31">
        <f t="shared" si="13"/>
        <v>-9.5</v>
      </c>
      <c r="T123" s="13">
        <f t="shared" si="14"/>
        <v>-0.27142857142857141</v>
      </c>
      <c r="U123" s="13">
        <f t="shared" si="15"/>
        <v>0.27142857142857141</v>
      </c>
      <c r="V123" s="14" t="str">
        <f t="shared" si="16"/>
        <v/>
      </c>
      <c r="W123" s="26"/>
      <c r="X123" t="str">
        <f t="shared" si="17"/>
        <v>Punktprognose</v>
      </c>
      <c r="Y123" s="31" t="str">
        <f t="shared" si="18"/>
        <v/>
      </c>
      <c r="Z123" t="str">
        <f>IFERROR(VLOOKUP(A123,Unternehmen!$A:$D,4,FALSE()),"")</f>
        <v>Telekommunikation</v>
      </c>
    </row>
    <row r="124" spans="1:26" ht="15" customHeight="1" x14ac:dyDescent="0.35">
      <c r="A124" s="38" t="s">
        <v>62</v>
      </c>
      <c r="B124" s="23">
        <v>2021</v>
      </c>
      <c r="C124" s="23" t="s">
        <v>15</v>
      </c>
      <c r="D124" s="38" t="s">
        <v>369</v>
      </c>
      <c r="E124" s="23">
        <v>109</v>
      </c>
      <c r="F124" s="23" t="s">
        <v>133</v>
      </c>
      <c r="G124" s="23" t="s">
        <v>220</v>
      </c>
      <c r="H124" s="38" t="s">
        <v>226</v>
      </c>
      <c r="I124" s="30"/>
      <c r="J124" s="30"/>
      <c r="K124" s="25">
        <f t="shared" ref="K124:K131" si="22">L122</f>
        <v>101</v>
      </c>
      <c r="L124" s="25">
        <v>108.8</v>
      </c>
      <c r="M124" s="25">
        <f t="shared" si="21"/>
        <v>7.7999999999999972</v>
      </c>
      <c r="N124" s="28" t="s">
        <v>208</v>
      </c>
      <c r="O124" s="38" t="s">
        <v>371</v>
      </c>
      <c r="P124" s="23">
        <v>123</v>
      </c>
      <c r="Q124" s="26"/>
      <c r="R124" s="31" t="str">
        <f t="shared" si="12"/>
        <v/>
      </c>
      <c r="S124" s="31" t="str">
        <f t="shared" si="13"/>
        <v/>
      </c>
      <c r="T124" s="13" t="str">
        <f t="shared" si="14"/>
        <v/>
      </c>
      <c r="U124" s="13" t="str">
        <f t="shared" si="15"/>
        <v/>
      </c>
      <c r="V124" s="14" t="str">
        <f t="shared" si="16"/>
        <v/>
      </c>
      <c r="W124" s="26" t="s">
        <v>372</v>
      </c>
      <c r="X124" t="str">
        <f t="shared" si="17"/>
        <v>nicht auswertbar</v>
      </c>
      <c r="Y124" s="31" t="str">
        <f t="shared" si="18"/>
        <v/>
      </c>
      <c r="Z124" t="str">
        <f>IFERROR(VLOOKUP(A124,Unternehmen!$A:$D,4,FALSE()),"")</f>
        <v>Telekommunikation</v>
      </c>
    </row>
    <row r="125" spans="1:26" ht="15" customHeight="1" x14ac:dyDescent="0.35">
      <c r="A125" s="38" t="s">
        <v>62</v>
      </c>
      <c r="B125" s="23">
        <v>2021</v>
      </c>
      <c r="C125" s="23" t="s">
        <v>155</v>
      </c>
      <c r="D125" s="38" t="s">
        <v>369</v>
      </c>
      <c r="E125" s="23">
        <v>109</v>
      </c>
      <c r="F125" s="23" t="s">
        <v>139</v>
      </c>
      <c r="G125" s="23" t="s">
        <v>220</v>
      </c>
      <c r="H125" s="38" t="s">
        <v>226</v>
      </c>
      <c r="I125" s="25">
        <v>37</v>
      </c>
      <c r="J125" s="25">
        <v>37</v>
      </c>
      <c r="K125" s="25">
        <f t="shared" si="22"/>
        <v>35</v>
      </c>
      <c r="L125" s="25">
        <v>37.299999999999997</v>
      </c>
      <c r="M125" s="25">
        <f t="shared" si="21"/>
        <v>2.2999999999999972</v>
      </c>
      <c r="N125" s="28" t="s">
        <v>208</v>
      </c>
      <c r="O125" s="38" t="s">
        <v>371</v>
      </c>
      <c r="P125" s="23">
        <v>123</v>
      </c>
      <c r="Q125" s="26"/>
      <c r="R125" s="31">
        <f t="shared" si="12"/>
        <v>37</v>
      </c>
      <c r="S125" s="31">
        <f t="shared" si="13"/>
        <v>-0.29999999999999716</v>
      </c>
      <c r="T125" s="13">
        <f t="shared" si="14"/>
        <v>-8.0428954423591732E-3</v>
      </c>
      <c r="U125" s="13">
        <f t="shared" si="15"/>
        <v>8.0428954423591732E-3</v>
      </c>
      <c r="V125" s="14" t="str">
        <f t="shared" si="16"/>
        <v/>
      </c>
      <c r="W125" s="26"/>
      <c r="X125" t="str">
        <f t="shared" si="17"/>
        <v>Punktprognose</v>
      </c>
      <c r="Y125" s="31" t="str">
        <f t="shared" si="18"/>
        <v/>
      </c>
      <c r="Z125" t="str">
        <f>IFERROR(VLOOKUP(A125,Unternehmen!$A:$D,4,FALSE()),"")</f>
        <v>Telekommunikation</v>
      </c>
    </row>
    <row r="126" spans="1:26" ht="15" customHeight="1" x14ac:dyDescent="0.35">
      <c r="A126" s="38" t="s">
        <v>62</v>
      </c>
      <c r="B126" s="23">
        <v>2022</v>
      </c>
      <c r="C126" s="23" t="s">
        <v>15</v>
      </c>
      <c r="D126" s="38" t="s">
        <v>371</v>
      </c>
      <c r="E126" s="23">
        <v>123</v>
      </c>
      <c r="F126" s="23" t="s">
        <v>133</v>
      </c>
      <c r="G126" s="23" t="s">
        <v>220</v>
      </c>
      <c r="H126" s="38" t="s">
        <v>226</v>
      </c>
      <c r="I126" s="30"/>
      <c r="J126" s="30"/>
      <c r="K126" s="25">
        <f t="shared" si="22"/>
        <v>108.8</v>
      </c>
      <c r="L126" s="25">
        <v>114.4</v>
      </c>
      <c r="M126" s="25">
        <f t="shared" si="21"/>
        <v>5.6000000000000085</v>
      </c>
      <c r="N126" s="28" t="s">
        <v>208</v>
      </c>
      <c r="O126" s="38" t="s">
        <v>373</v>
      </c>
      <c r="P126" s="23">
        <v>136</v>
      </c>
      <c r="Q126" s="26"/>
      <c r="R126" s="31" t="str">
        <f t="shared" si="12"/>
        <v/>
      </c>
      <c r="S126" s="31" t="str">
        <f t="shared" si="13"/>
        <v/>
      </c>
      <c r="T126" s="13" t="str">
        <f t="shared" si="14"/>
        <v/>
      </c>
      <c r="U126" s="13" t="str">
        <f t="shared" si="15"/>
        <v/>
      </c>
      <c r="V126" s="14" t="str">
        <f t="shared" si="16"/>
        <v/>
      </c>
      <c r="W126" s="26" t="s">
        <v>374</v>
      </c>
      <c r="X126" t="str">
        <f t="shared" si="17"/>
        <v>nicht auswertbar</v>
      </c>
      <c r="Y126" s="31" t="str">
        <f t="shared" si="18"/>
        <v/>
      </c>
      <c r="Z126" t="str">
        <f>IFERROR(VLOOKUP(A126,Unternehmen!$A:$D,4,FALSE()),"")</f>
        <v>Telekommunikation</v>
      </c>
    </row>
    <row r="127" spans="1:26" ht="15" customHeight="1" x14ac:dyDescent="0.35">
      <c r="A127" s="38" t="s">
        <v>62</v>
      </c>
      <c r="B127" s="23">
        <v>2022</v>
      </c>
      <c r="C127" s="23" t="s">
        <v>155</v>
      </c>
      <c r="D127" s="38" t="s">
        <v>371</v>
      </c>
      <c r="E127" s="23">
        <v>123</v>
      </c>
      <c r="F127" s="23" t="s">
        <v>139</v>
      </c>
      <c r="G127" s="23" t="s">
        <v>220</v>
      </c>
      <c r="H127" s="38" t="s">
        <v>226</v>
      </c>
      <c r="I127" s="25">
        <v>36.5</v>
      </c>
      <c r="J127" s="25">
        <v>36.5</v>
      </c>
      <c r="K127" s="25">
        <f t="shared" si="22"/>
        <v>37.299999999999997</v>
      </c>
      <c r="L127" s="25">
        <v>40.200000000000003</v>
      </c>
      <c r="M127" s="25">
        <f t="shared" si="21"/>
        <v>2.9000000000000057</v>
      </c>
      <c r="N127" s="29" t="s">
        <v>218</v>
      </c>
      <c r="O127" s="38" t="s">
        <v>373</v>
      </c>
      <c r="P127" s="23">
        <v>136</v>
      </c>
      <c r="Q127" s="26"/>
      <c r="R127" s="31">
        <f t="shared" si="12"/>
        <v>36.5</v>
      </c>
      <c r="S127" s="31">
        <f t="shared" si="13"/>
        <v>-3.7000000000000028</v>
      </c>
      <c r="T127" s="13">
        <f t="shared" si="14"/>
        <v>-9.2039800995024942E-2</v>
      </c>
      <c r="U127" s="13">
        <f t="shared" si="15"/>
        <v>9.2039800995024942E-2</v>
      </c>
      <c r="V127" s="14" t="str">
        <f t="shared" si="16"/>
        <v/>
      </c>
      <c r="W127" s="26"/>
      <c r="X127" t="str">
        <f t="shared" si="17"/>
        <v>Punktprognose</v>
      </c>
      <c r="Y127" s="31" t="str">
        <f t="shared" si="18"/>
        <v/>
      </c>
      <c r="Z127" t="str">
        <f>IFERROR(VLOOKUP(A127,Unternehmen!$A:$D,4,FALSE()),"")</f>
        <v>Telekommunikation</v>
      </c>
    </row>
    <row r="128" spans="1:26" ht="15" customHeight="1" x14ac:dyDescent="0.35">
      <c r="A128" s="38" t="s">
        <v>62</v>
      </c>
      <c r="B128" s="23">
        <v>2023</v>
      </c>
      <c r="C128" s="23" t="s">
        <v>15</v>
      </c>
      <c r="D128" s="38" t="s">
        <v>373</v>
      </c>
      <c r="E128" s="23">
        <v>136</v>
      </c>
      <c r="F128" s="23" t="s">
        <v>133</v>
      </c>
      <c r="G128" s="23" t="s">
        <v>220</v>
      </c>
      <c r="H128" s="38" t="s">
        <v>226</v>
      </c>
      <c r="I128" s="30"/>
      <c r="J128" s="30"/>
      <c r="K128" s="25">
        <f t="shared" si="22"/>
        <v>114.4</v>
      </c>
      <c r="L128" s="25">
        <v>112</v>
      </c>
      <c r="M128" s="25">
        <f t="shared" si="21"/>
        <v>-2.4000000000000057</v>
      </c>
      <c r="N128" s="39" t="s">
        <v>375</v>
      </c>
      <c r="O128" s="38" t="s">
        <v>376</v>
      </c>
      <c r="P128" s="23">
        <v>136</v>
      </c>
      <c r="Q128" s="26"/>
      <c r="R128" s="31" t="str">
        <f t="shared" si="12"/>
        <v/>
      </c>
      <c r="S128" s="31" t="str">
        <f t="shared" si="13"/>
        <v/>
      </c>
      <c r="T128" s="13" t="str">
        <f t="shared" si="14"/>
        <v/>
      </c>
      <c r="U128" s="13" t="str">
        <f t="shared" si="15"/>
        <v/>
      </c>
      <c r="V128" s="14" t="str">
        <f t="shared" si="16"/>
        <v/>
      </c>
      <c r="W128" s="26" t="s">
        <v>372</v>
      </c>
      <c r="X128" t="str">
        <f t="shared" si="17"/>
        <v>nicht auswertbar</v>
      </c>
      <c r="Y128" s="31" t="str">
        <f t="shared" si="18"/>
        <v/>
      </c>
      <c r="Z128" t="str">
        <f>IFERROR(VLOOKUP(A128,Unternehmen!$A:$D,4,FALSE()),"")</f>
        <v>Telekommunikation</v>
      </c>
    </row>
    <row r="129" spans="1:26" ht="15" customHeight="1" x14ac:dyDescent="0.35">
      <c r="A129" s="38" t="s">
        <v>62</v>
      </c>
      <c r="B129" s="23">
        <v>2023</v>
      </c>
      <c r="C129" s="23" t="s">
        <v>155</v>
      </c>
      <c r="D129" s="38" t="s">
        <v>373</v>
      </c>
      <c r="E129" s="23">
        <v>136</v>
      </c>
      <c r="F129" s="23" t="s">
        <v>139</v>
      </c>
      <c r="G129" s="23" t="s">
        <v>220</v>
      </c>
      <c r="H129" s="38" t="s">
        <v>226</v>
      </c>
      <c r="I129" s="25">
        <v>40.799999999999997</v>
      </c>
      <c r="J129" s="25">
        <v>40.799999999999997</v>
      </c>
      <c r="K129" s="25">
        <f t="shared" si="22"/>
        <v>40.200000000000003</v>
      </c>
      <c r="L129" s="25">
        <v>40.5</v>
      </c>
      <c r="M129" s="25">
        <f t="shared" si="21"/>
        <v>0.29999999999999716</v>
      </c>
      <c r="N129" s="38" t="s">
        <v>377</v>
      </c>
      <c r="O129" s="38" t="s">
        <v>376</v>
      </c>
      <c r="P129" s="23">
        <v>136</v>
      </c>
      <c r="Q129" s="26"/>
      <c r="R129" s="31">
        <f t="shared" si="12"/>
        <v>40.799999999999997</v>
      </c>
      <c r="S129" s="31">
        <f t="shared" si="13"/>
        <v>0.29999999999999716</v>
      </c>
      <c r="T129" s="13">
        <f t="shared" si="14"/>
        <v>7.4074074074073374E-3</v>
      </c>
      <c r="U129" s="13">
        <f t="shared" si="15"/>
        <v>7.4074074074073374E-3</v>
      </c>
      <c r="V129" s="14" t="str">
        <f t="shared" si="16"/>
        <v/>
      </c>
      <c r="W129" s="26"/>
      <c r="X129" t="str">
        <f t="shared" si="17"/>
        <v>Punktprognose</v>
      </c>
      <c r="Y129" s="31" t="str">
        <f t="shared" si="18"/>
        <v/>
      </c>
      <c r="Z129" t="str">
        <f>IFERROR(VLOOKUP(A129,Unternehmen!$A:$D,4,FALSE()),"")</f>
        <v>Telekommunikation</v>
      </c>
    </row>
    <row r="130" spans="1:26" ht="15" customHeight="1" x14ac:dyDescent="0.35">
      <c r="A130" s="38" t="s">
        <v>62</v>
      </c>
      <c r="B130" s="23">
        <v>2024</v>
      </c>
      <c r="C130" s="23" t="s">
        <v>15</v>
      </c>
      <c r="D130" s="38" t="s">
        <v>376</v>
      </c>
      <c r="E130" s="23">
        <v>136</v>
      </c>
      <c r="F130" s="23" t="s">
        <v>133</v>
      </c>
      <c r="G130" s="23" t="s">
        <v>220</v>
      </c>
      <c r="H130" s="38" t="s">
        <v>226</v>
      </c>
      <c r="I130" s="30"/>
      <c r="J130" s="30"/>
      <c r="K130" s="25">
        <f t="shared" si="22"/>
        <v>112</v>
      </c>
      <c r="L130" s="25">
        <v>115.8</v>
      </c>
      <c r="M130" s="25">
        <f t="shared" si="21"/>
        <v>3.7999999999999972</v>
      </c>
      <c r="N130" s="28" t="s">
        <v>208</v>
      </c>
      <c r="O130" s="38" t="s">
        <v>378</v>
      </c>
      <c r="P130" s="23">
        <v>182</v>
      </c>
      <c r="Q130" s="26"/>
      <c r="R130" s="31" t="str">
        <f t="shared" ref="R130:R193" si="23">IF(NOT(ISNUMBER(I130)),"",IF(F130="Mindestprognose",I130,IF(ISNUMBER(J130),(I130+J130)/2,I130)))</f>
        <v/>
      </c>
      <c r="S130" s="31" t="str">
        <f t="shared" ref="S130:S193" si="24">IF(OR(R130="",NOT(ISNUMBER(L130))),"",R130-L130)</f>
        <v/>
      </c>
      <c r="T130" s="13" t="str">
        <f t="shared" ref="T130:T193" si="25">IF(OR(S130="",G130&lt;&gt;"absolut",NOT(ISNUMBER(L130)),L130=0),"",S130/ABS(L130))</f>
        <v/>
      </c>
      <c r="U130" s="13" t="str">
        <f t="shared" ref="U130:U193" si="26">IF(T130="","",ABS(T130))</f>
        <v/>
      </c>
      <c r="V130" s="14" t="str">
        <f t="shared" ref="V130:V193" si="27">IF(OR(F130="Punkt",NOT(ISNUMBER(L130))),"",IF(F130="Mindestprognose",IF(L130&gt;=I130,1,0),IF(AND(ISNUMBER(I130),ISNUMBER(J130),I130&lt;&gt;J130),IF(AND(L130&gt;=I130,L130&lt;=J130),1,0),"")))</f>
        <v/>
      </c>
      <c r="W130" s="26" t="s">
        <v>370</v>
      </c>
      <c r="X130" t="str">
        <f t="shared" ref="X130:X193" si="28">IF(OR(F130="qualitativ",F130="fehlend",NOT(ISNUMBER(L130))),"nicht auswertbar",IF(F130="Punkt","Punktprognose",IF(AND(ISNUMBER(I130),ISNUMBER(J130)),IF(L130&lt;I130,"unterhalb",IF(L130&gt;J130,"oberhalb","innerhalb")),"nicht auswertbar")))</f>
        <v>nicht auswertbar</v>
      </c>
      <c r="Y130" s="31" t="str">
        <f t="shared" ref="Y130:Y193" si="29">IF(AND(ISNUMBER(S130),OR(G130="Marge %",G130="Wachstumsrate %")),ABS(S130),"")</f>
        <v/>
      </c>
      <c r="Z130" t="str">
        <f>IFERROR(VLOOKUP(A130,Unternehmen!$A:$D,4,FALSE()),"")</f>
        <v>Telekommunikation</v>
      </c>
    </row>
    <row r="131" spans="1:26" ht="15" customHeight="1" x14ac:dyDescent="0.35">
      <c r="A131" s="38" t="s">
        <v>62</v>
      </c>
      <c r="B131" s="23">
        <v>2024</v>
      </c>
      <c r="C131" s="23" t="s">
        <v>155</v>
      </c>
      <c r="D131" s="38" t="s">
        <v>376</v>
      </c>
      <c r="E131" s="23">
        <v>136</v>
      </c>
      <c r="F131" s="23" t="s">
        <v>139</v>
      </c>
      <c r="G131" s="23" t="s">
        <v>220</v>
      </c>
      <c r="H131" s="38" t="s">
        <v>226</v>
      </c>
      <c r="I131" s="25">
        <v>42.9</v>
      </c>
      <c r="J131" s="25">
        <v>42.9</v>
      </c>
      <c r="K131" s="25">
        <f t="shared" si="22"/>
        <v>40.5</v>
      </c>
      <c r="L131" s="25">
        <v>43</v>
      </c>
      <c r="M131" s="25">
        <f t="shared" si="21"/>
        <v>2.5</v>
      </c>
      <c r="N131" s="28" t="s">
        <v>208</v>
      </c>
      <c r="O131" s="38" t="s">
        <v>378</v>
      </c>
      <c r="P131" s="23">
        <v>182</v>
      </c>
      <c r="Q131" s="26"/>
      <c r="R131" s="31">
        <f t="shared" si="23"/>
        <v>42.9</v>
      </c>
      <c r="S131" s="31">
        <f t="shared" si="24"/>
        <v>-0.10000000000000142</v>
      </c>
      <c r="T131" s="13">
        <f t="shared" si="25"/>
        <v>-2.3255813953488701E-3</v>
      </c>
      <c r="U131" s="13">
        <f t="shared" si="26"/>
        <v>2.3255813953488701E-3</v>
      </c>
      <c r="V131" s="14" t="str">
        <f t="shared" si="27"/>
        <v/>
      </c>
      <c r="W131" s="26"/>
      <c r="X131" t="str">
        <f t="shared" si="28"/>
        <v>Punktprognose</v>
      </c>
      <c r="Y131" s="31" t="str">
        <f t="shared" si="29"/>
        <v/>
      </c>
      <c r="Z131" t="str">
        <f>IFERROR(VLOOKUP(A131,Unternehmen!$A:$D,4,FALSE()),"")</f>
        <v>Telekommunikation</v>
      </c>
    </row>
    <row r="132" spans="1:26" ht="15" customHeight="1" x14ac:dyDescent="0.35">
      <c r="A132" s="38" t="s">
        <v>66</v>
      </c>
      <c r="B132" s="23">
        <v>2020</v>
      </c>
      <c r="C132" s="23" t="s">
        <v>15</v>
      </c>
      <c r="D132" s="43"/>
      <c r="E132" s="35"/>
      <c r="F132" s="35" t="s">
        <v>134</v>
      </c>
      <c r="G132" s="35"/>
      <c r="H132" s="43"/>
      <c r="I132" s="30"/>
      <c r="J132" s="30"/>
      <c r="K132" s="30"/>
      <c r="L132" s="30"/>
      <c r="M132" s="30"/>
      <c r="N132" s="30"/>
      <c r="O132" s="43"/>
      <c r="P132" s="35"/>
      <c r="Q132" s="26"/>
      <c r="R132" s="31" t="str">
        <f t="shared" si="23"/>
        <v/>
      </c>
      <c r="S132" s="31" t="str">
        <f t="shared" si="24"/>
        <v/>
      </c>
      <c r="T132" s="13" t="str">
        <f t="shared" si="25"/>
        <v/>
      </c>
      <c r="U132" s="13" t="str">
        <f t="shared" si="26"/>
        <v/>
      </c>
      <c r="V132" s="14" t="str">
        <f t="shared" si="27"/>
        <v/>
      </c>
      <c r="W132" s="26"/>
      <c r="X132" t="str">
        <f t="shared" si="28"/>
        <v>nicht auswertbar</v>
      </c>
      <c r="Y132" s="31" t="str">
        <f t="shared" si="29"/>
        <v/>
      </c>
      <c r="Z132" t="str">
        <f>IFERROR(VLOOKUP(A132,Unternehmen!$A:$D,4,FALSE()),"")</f>
        <v>Versorger</v>
      </c>
    </row>
    <row r="133" spans="1:26" ht="15" customHeight="1" x14ac:dyDescent="0.35">
      <c r="A133" s="38" t="s">
        <v>66</v>
      </c>
      <c r="B133" s="23">
        <v>2020</v>
      </c>
      <c r="C133" s="23" t="s">
        <v>155</v>
      </c>
      <c r="D133" s="38" t="s">
        <v>379</v>
      </c>
      <c r="E133" s="23">
        <v>40</v>
      </c>
      <c r="F133" s="23" t="s">
        <v>138</v>
      </c>
      <c r="G133" s="23" t="s">
        <v>220</v>
      </c>
      <c r="H133" s="38" t="s">
        <v>226</v>
      </c>
      <c r="I133" s="25">
        <v>3.9</v>
      </c>
      <c r="J133" s="25">
        <v>4.0999999999999996</v>
      </c>
      <c r="K133" s="25">
        <v>3.2</v>
      </c>
      <c r="L133" s="25">
        <v>3.8</v>
      </c>
      <c r="M133" s="25">
        <f>L133-K133</f>
        <v>0.59999999999999964</v>
      </c>
      <c r="N133" s="25" t="s">
        <v>380</v>
      </c>
      <c r="O133" s="38" t="s">
        <v>381</v>
      </c>
      <c r="P133" s="23">
        <v>31</v>
      </c>
      <c r="Q133" s="26"/>
      <c r="R133" s="31">
        <f t="shared" si="23"/>
        <v>4</v>
      </c>
      <c r="S133" s="31">
        <f t="shared" si="24"/>
        <v>0.20000000000000018</v>
      </c>
      <c r="T133" s="13">
        <f t="shared" si="25"/>
        <v>5.2631578947368474E-2</v>
      </c>
      <c r="U133" s="13">
        <f t="shared" si="26"/>
        <v>5.2631578947368474E-2</v>
      </c>
      <c r="V133" s="14">
        <f t="shared" si="27"/>
        <v>0</v>
      </c>
      <c r="W133" s="26"/>
      <c r="X133" t="str">
        <f t="shared" si="28"/>
        <v>unterhalb</v>
      </c>
      <c r="Y133" s="31" t="str">
        <f t="shared" si="29"/>
        <v/>
      </c>
      <c r="Z133" t="str">
        <f>IFERROR(VLOOKUP(A133,Unternehmen!$A:$D,4,FALSE()),"")</f>
        <v>Versorger</v>
      </c>
    </row>
    <row r="134" spans="1:26" ht="15" customHeight="1" x14ac:dyDescent="0.35">
      <c r="A134" s="38" t="s">
        <v>66</v>
      </c>
      <c r="B134" s="23">
        <v>2021</v>
      </c>
      <c r="C134" s="23" t="s">
        <v>15</v>
      </c>
      <c r="D134" s="43"/>
      <c r="E134" s="35"/>
      <c r="F134" s="35" t="s">
        <v>134</v>
      </c>
      <c r="G134" s="35"/>
      <c r="H134" s="43"/>
      <c r="I134" s="30"/>
      <c r="J134" s="30"/>
      <c r="K134" s="30"/>
      <c r="L134" s="30"/>
      <c r="M134" s="30"/>
      <c r="N134" s="30"/>
      <c r="O134" s="43"/>
      <c r="P134" s="35"/>
      <c r="Q134" s="26"/>
      <c r="R134" s="31" t="str">
        <f t="shared" si="23"/>
        <v/>
      </c>
      <c r="S134" s="31" t="str">
        <f t="shared" si="24"/>
        <v/>
      </c>
      <c r="T134" s="13" t="str">
        <f t="shared" si="25"/>
        <v/>
      </c>
      <c r="U134" s="13" t="str">
        <f t="shared" si="26"/>
        <v/>
      </c>
      <c r="V134" s="14" t="str">
        <f t="shared" si="27"/>
        <v/>
      </c>
      <c r="W134" s="26"/>
      <c r="X134" t="str">
        <f t="shared" si="28"/>
        <v>nicht auswertbar</v>
      </c>
      <c r="Y134" s="31" t="str">
        <f t="shared" si="29"/>
        <v/>
      </c>
      <c r="Z134" t="str">
        <f>IFERROR(VLOOKUP(A134,Unternehmen!$A:$D,4,FALSE()),"")</f>
        <v>Versorger</v>
      </c>
    </row>
    <row r="135" spans="1:26" ht="15" customHeight="1" x14ac:dyDescent="0.35">
      <c r="A135" s="38" t="s">
        <v>66</v>
      </c>
      <c r="B135" s="23">
        <v>2021</v>
      </c>
      <c r="C135" s="23" t="s">
        <v>155</v>
      </c>
      <c r="D135" s="38" t="s">
        <v>381</v>
      </c>
      <c r="E135" s="23">
        <v>55</v>
      </c>
      <c r="F135" s="23" t="s">
        <v>138</v>
      </c>
      <c r="G135" s="23" t="s">
        <v>220</v>
      </c>
      <c r="H135" s="38" t="s">
        <v>226</v>
      </c>
      <c r="I135" s="25">
        <v>3.8</v>
      </c>
      <c r="J135" s="25">
        <v>4</v>
      </c>
      <c r="K135" s="25">
        <f>L133</f>
        <v>3.8</v>
      </c>
      <c r="L135" s="25">
        <v>4.7</v>
      </c>
      <c r="M135" s="25">
        <f>L135-K135</f>
        <v>0.90000000000000036</v>
      </c>
      <c r="N135" s="29" t="s">
        <v>218</v>
      </c>
      <c r="O135" s="38" t="s">
        <v>382</v>
      </c>
      <c r="P135" s="23">
        <v>107</v>
      </c>
      <c r="Q135" s="26"/>
      <c r="R135" s="31">
        <f t="shared" si="23"/>
        <v>3.9</v>
      </c>
      <c r="S135" s="31">
        <f t="shared" si="24"/>
        <v>-0.80000000000000027</v>
      </c>
      <c r="T135" s="13">
        <f t="shared" si="25"/>
        <v>-0.17021276595744686</v>
      </c>
      <c r="U135" s="13">
        <f t="shared" si="26"/>
        <v>0.17021276595744686</v>
      </c>
      <c r="V135" s="14">
        <f t="shared" si="27"/>
        <v>0</v>
      </c>
      <c r="W135" s="26"/>
      <c r="X135" t="str">
        <f t="shared" si="28"/>
        <v>oberhalb</v>
      </c>
      <c r="Y135" s="31" t="str">
        <f t="shared" si="29"/>
        <v/>
      </c>
      <c r="Z135" t="str">
        <f>IFERROR(VLOOKUP(A135,Unternehmen!$A:$D,4,FALSE()),"")</f>
        <v>Versorger</v>
      </c>
    </row>
    <row r="136" spans="1:26" ht="15" customHeight="1" x14ac:dyDescent="0.35">
      <c r="A136" s="38" t="s">
        <v>66</v>
      </c>
      <c r="B136" s="23">
        <v>2022</v>
      </c>
      <c r="C136" s="23" t="s">
        <v>15</v>
      </c>
      <c r="D136" s="43"/>
      <c r="E136" s="35"/>
      <c r="F136" s="35" t="s">
        <v>134</v>
      </c>
      <c r="G136" s="35"/>
      <c r="H136" s="43"/>
      <c r="I136" s="30"/>
      <c r="J136" s="30"/>
      <c r="K136" s="30"/>
      <c r="L136" s="30"/>
      <c r="M136" s="30"/>
      <c r="N136" s="30"/>
      <c r="O136" s="43"/>
      <c r="P136" s="35"/>
      <c r="Q136" s="26"/>
      <c r="R136" s="31" t="str">
        <f t="shared" si="23"/>
        <v/>
      </c>
      <c r="S136" s="31" t="str">
        <f t="shared" si="24"/>
        <v/>
      </c>
      <c r="T136" s="13" t="str">
        <f t="shared" si="25"/>
        <v/>
      </c>
      <c r="U136" s="13" t="str">
        <f t="shared" si="26"/>
        <v/>
      </c>
      <c r="V136" s="14" t="str">
        <f t="shared" si="27"/>
        <v/>
      </c>
      <c r="W136" s="26"/>
      <c r="X136" t="str">
        <f t="shared" si="28"/>
        <v>nicht auswertbar</v>
      </c>
      <c r="Y136" s="31" t="str">
        <f t="shared" si="29"/>
        <v/>
      </c>
      <c r="Z136" t="str">
        <f>IFERROR(VLOOKUP(A136,Unternehmen!$A:$D,4,FALSE()),"")</f>
        <v>Versorger</v>
      </c>
    </row>
    <row r="137" spans="1:26" ht="15" customHeight="1" x14ac:dyDescent="0.35">
      <c r="A137" s="38" t="s">
        <v>66</v>
      </c>
      <c r="B137" s="23">
        <v>2022</v>
      </c>
      <c r="C137" s="23" t="s">
        <v>155</v>
      </c>
      <c r="D137" s="38" t="s">
        <v>382</v>
      </c>
      <c r="E137" s="23">
        <v>81</v>
      </c>
      <c r="F137" s="23" t="s">
        <v>138</v>
      </c>
      <c r="G137" s="23" t="s">
        <v>220</v>
      </c>
      <c r="H137" s="38" t="s">
        <v>226</v>
      </c>
      <c r="I137" s="25">
        <v>7.6</v>
      </c>
      <c r="J137" s="25">
        <v>7.8</v>
      </c>
      <c r="K137" s="25">
        <v>7.9</v>
      </c>
      <c r="L137" s="25">
        <v>8.1</v>
      </c>
      <c r="M137" s="25">
        <f>L137-K137</f>
        <v>0.19999999999999929</v>
      </c>
      <c r="N137" s="29" t="s">
        <v>218</v>
      </c>
      <c r="O137" s="38" t="s">
        <v>383</v>
      </c>
      <c r="P137" s="23">
        <v>158</v>
      </c>
      <c r="Q137" s="26"/>
      <c r="R137" s="31">
        <f t="shared" si="23"/>
        <v>7.6999999999999993</v>
      </c>
      <c r="S137" s="31">
        <f t="shared" si="24"/>
        <v>-0.40000000000000036</v>
      </c>
      <c r="T137" s="13">
        <f t="shared" si="25"/>
        <v>-4.9382716049382762E-2</v>
      </c>
      <c r="U137" s="13">
        <f t="shared" si="26"/>
        <v>4.9382716049382762E-2</v>
      </c>
      <c r="V137" s="14">
        <f t="shared" si="27"/>
        <v>0</v>
      </c>
      <c r="W137" s="26"/>
      <c r="X137" t="str">
        <f t="shared" si="28"/>
        <v>oberhalb</v>
      </c>
      <c r="Y137" s="31" t="str">
        <f t="shared" si="29"/>
        <v/>
      </c>
      <c r="Z137" t="str">
        <f>IFERROR(VLOOKUP(A137,Unternehmen!$A:$D,4,FALSE()),"")</f>
        <v>Versorger</v>
      </c>
    </row>
    <row r="138" spans="1:26" ht="15" customHeight="1" x14ac:dyDescent="0.35">
      <c r="A138" s="38" t="s">
        <v>66</v>
      </c>
      <c r="B138" s="23">
        <v>2023</v>
      </c>
      <c r="C138" s="23" t="s">
        <v>15</v>
      </c>
      <c r="D138" s="43"/>
      <c r="E138" s="35"/>
      <c r="F138" s="35" t="s">
        <v>134</v>
      </c>
      <c r="G138" s="35"/>
      <c r="H138" s="43"/>
      <c r="I138" s="30"/>
      <c r="J138" s="30"/>
      <c r="K138" s="30"/>
      <c r="L138" s="30"/>
      <c r="M138" s="30"/>
      <c r="N138" s="30"/>
      <c r="O138" s="43"/>
      <c r="P138" s="35"/>
      <c r="Q138" s="26"/>
      <c r="R138" s="31" t="str">
        <f t="shared" si="23"/>
        <v/>
      </c>
      <c r="S138" s="31" t="str">
        <f t="shared" si="24"/>
        <v/>
      </c>
      <c r="T138" s="13" t="str">
        <f t="shared" si="25"/>
        <v/>
      </c>
      <c r="U138" s="13" t="str">
        <f t="shared" si="26"/>
        <v/>
      </c>
      <c r="V138" s="14" t="str">
        <f t="shared" si="27"/>
        <v/>
      </c>
      <c r="W138" s="26"/>
      <c r="X138" t="str">
        <f t="shared" si="28"/>
        <v>nicht auswertbar</v>
      </c>
      <c r="Y138" s="31" t="str">
        <f t="shared" si="29"/>
        <v/>
      </c>
      <c r="Z138" t="str">
        <f>IFERROR(VLOOKUP(A138,Unternehmen!$A:$D,4,FALSE()),"")</f>
        <v>Versorger</v>
      </c>
    </row>
    <row r="139" spans="1:26" ht="15" customHeight="1" x14ac:dyDescent="0.35">
      <c r="A139" s="38" t="s">
        <v>66</v>
      </c>
      <c r="B139" s="23">
        <v>2023</v>
      </c>
      <c r="C139" s="23" t="s">
        <v>155</v>
      </c>
      <c r="D139" s="38" t="s">
        <v>383</v>
      </c>
      <c r="E139" s="23">
        <v>130</v>
      </c>
      <c r="F139" s="23" t="s">
        <v>138</v>
      </c>
      <c r="G139" s="23" t="s">
        <v>220</v>
      </c>
      <c r="H139" s="38" t="s">
        <v>226</v>
      </c>
      <c r="I139" s="25">
        <v>7.8</v>
      </c>
      <c r="J139" s="25">
        <v>8</v>
      </c>
      <c r="K139" s="25">
        <f>L137</f>
        <v>8.1</v>
      </c>
      <c r="L139" s="25">
        <v>9.4</v>
      </c>
      <c r="M139" s="25">
        <f>L139-K139</f>
        <v>1.3000000000000007</v>
      </c>
      <c r="N139" s="29" t="s">
        <v>218</v>
      </c>
      <c r="O139" s="38" t="s">
        <v>384</v>
      </c>
      <c r="P139" s="23">
        <v>111</v>
      </c>
      <c r="Q139" s="26"/>
      <c r="R139" s="31">
        <f t="shared" si="23"/>
        <v>7.9</v>
      </c>
      <c r="S139" s="31">
        <f t="shared" si="24"/>
        <v>-1.5</v>
      </c>
      <c r="T139" s="13">
        <f t="shared" si="25"/>
        <v>-0.15957446808510636</v>
      </c>
      <c r="U139" s="13">
        <f t="shared" si="26"/>
        <v>0.15957446808510636</v>
      </c>
      <c r="V139" s="14">
        <f t="shared" si="27"/>
        <v>0</v>
      </c>
      <c r="W139" s="26"/>
      <c r="X139" t="str">
        <f t="shared" si="28"/>
        <v>oberhalb</v>
      </c>
      <c r="Y139" s="31" t="str">
        <f t="shared" si="29"/>
        <v/>
      </c>
      <c r="Z139" t="str">
        <f>IFERROR(VLOOKUP(A139,Unternehmen!$A:$D,4,FALSE()),"")</f>
        <v>Versorger</v>
      </c>
    </row>
    <row r="140" spans="1:26" ht="15" customHeight="1" x14ac:dyDescent="0.35">
      <c r="A140" s="38" t="s">
        <v>66</v>
      </c>
      <c r="B140" s="23">
        <v>2024</v>
      </c>
      <c r="C140" s="23" t="s">
        <v>15</v>
      </c>
      <c r="D140" s="43"/>
      <c r="E140" s="35"/>
      <c r="F140" s="35" t="s">
        <v>134</v>
      </c>
      <c r="G140" s="35"/>
      <c r="H140" s="43"/>
      <c r="I140" s="30"/>
      <c r="J140" s="30"/>
      <c r="K140" s="30"/>
      <c r="L140" s="30"/>
      <c r="M140" s="30"/>
      <c r="N140" s="30"/>
      <c r="O140" s="43"/>
      <c r="P140" s="35"/>
      <c r="Q140" s="26"/>
      <c r="R140" s="31" t="str">
        <f t="shared" si="23"/>
        <v/>
      </c>
      <c r="S140" s="31" t="str">
        <f t="shared" si="24"/>
        <v/>
      </c>
      <c r="T140" s="13" t="str">
        <f t="shared" si="25"/>
        <v/>
      </c>
      <c r="U140" s="13" t="str">
        <f t="shared" si="26"/>
        <v/>
      </c>
      <c r="V140" s="14" t="str">
        <f t="shared" si="27"/>
        <v/>
      </c>
      <c r="W140" s="26"/>
      <c r="X140" t="str">
        <f t="shared" si="28"/>
        <v>nicht auswertbar</v>
      </c>
      <c r="Y140" s="31" t="str">
        <f t="shared" si="29"/>
        <v/>
      </c>
      <c r="Z140" t="str">
        <f>IFERROR(VLOOKUP(A140,Unternehmen!$A:$D,4,FALSE()),"")</f>
        <v>Versorger</v>
      </c>
    </row>
    <row r="141" spans="1:26" ht="15" customHeight="1" x14ac:dyDescent="0.35">
      <c r="A141" s="38" t="s">
        <v>66</v>
      </c>
      <c r="B141" s="23">
        <v>2024</v>
      </c>
      <c r="C141" s="23" t="s">
        <v>155</v>
      </c>
      <c r="D141" s="38" t="s">
        <v>384</v>
      </c>
      <c r="E141" s="23">
        <v>128</v>
      </c>
      <c r="F141" s="23" t="s">
        <v>138</v>
      </c>
      <c r="G141" s="23" t="s">
        <v>220</v>
      </c>
      <c r="H141" s="38" t="s">
        <v>221</v>
      </c>
      <c r="I141" s="25">
        <v>8.8000000000000007</v>
      </c>
      <c r="J141" s="25">
        <v>9</v>
      </c>
      <c r="K141" s="25">
        <f>L139</f>
        <v>9.4</v>
      </c>
      <c r="L141" s="25">
        <v>9</v>
      </c>
      <c r="M141" s="25">
        <f t="shared" ref="M141:M171" si="30">L141-K141</f>
        <v>-0.40000000000000036</v>
      </c>
      <c r="N141" s="28" t="s">
        <v>208</v>
      </c>
      <c r="O141" s="38" t="s">
        <v>385</v>
      </c>
      <c r="P141" s="23">
        <v>90</v>
      </c>
      <c r="Q141" s="26"/>
      <c r="R141" s="31">
        <f t="shared" si="23"/>
        <v>8.9</v>
      </c>
      <c r="S141" s="31">
        <f t="shared" si="24"/>
        <v>-9.9999999999999645E-2</v>
      </c>
      <c r="T141" s="13">
        <f t="shared" si="25"/>
        <v>-1.1111111111111072E-2</v>
      </c>
      <c r="U141" s="13">
        <f t="shared" si="26"/>
        <v>1.1111111111111072E-2</v>
      </c>
      <c r="V141" s="14">
        <f t="shared" si="27"/>
        <v>1</v>
      </c>
      <c r="W141" s="26"/>
      <c r="X141" t="str">
        <f t="shared" si="28"/>
        <v>innerhalb</v>
      </c>
      <c r="Y141" s="31" t="str">
        <f t="shared" si="29"/>
        <v/>
      </c>
      <c r="Z141" t="str">
        <f>IFERROR(VLOOKUP(A141,Unternehmen!$A:$D,4,FALSE()),"")</f>
        <v>Versorger</v>
      </c>
    </row>
    <row r="142" spans="1:26" ht="15" customHeight="1" x14ac:dyDescent="0.35">
      <c r="A142" s="38" t="s">
        <v>71</v>
      </c>
      <c r="B142" s="23">
        <v>2020</v>
      </c>
      <c r="C142" s="23" t="s">
        <v>15</v>
      </c>
      <c r="D142" s="38" t="s">
        <v>386</v>
      </c>
      <c r="E142" s="23">
        <v>74</v>
      </c>
      <c r="F142" s="23" t="s">
        <v>137</v>
      </c>
      <c r="G142" s="23" t="s">
        <v>220</v>
      </c>
      <c r="H142" s="38" t="s">
        <v>221</v>
      </c>
      <c r="I142" s="25">
        <f>IF(ISNUMBER(K142),K142*1.04,"")</f>
        <v>36825.360000000001</v>
      </c>
      <c r="J142" s="25">
        <f>IF(ISNUMBER(K142),K142*1.07,"")</f>
        <v>37887.630000000005</v>
      </c>
      <c r="K142" s="25">
        <v>35409</v>
      </c>
      <c r="L142" s="25">
        <v>36277</v>
      </c>
      <c r="M142" s="25">
        <f t="shared" si="30"/>
        <v>868</v>
      </c>
      <c r="N142" s="25" t="s">
        <v>387</v>
      </c>
      <c r="O142" s="38" t="s">
        <v>388</v>
      </c>
      <c r="P142" s="23">
        <v>3</v>
      </c>
      <c r="Q142" s="26"/>
      <c r="R142" s="31">
        <f t="shared" si="23"/>
        <v>37356.495000000003</v>
      </c>
      <c r="S142" s="31">
        <f t="shared" si="24"/>
        <v>1079.4950000000026</v>
      </c>
      <c r="T142" s="13">
        <f t="shared" si="25"/>
        <v>2.9757008572925066E-2</v>
      </c>
      <c r="U142" s="13">
        <f t="shared" si="26"/>
        <v>2.9757008572925066E-2</v>
      </c>
      <c r="V142" s="14">
        <f t="shared" si="27"/>
        <v>0</v>
      </c>
      <c r="W142" s="26"/>
      <c r="X142" t="str">
        <f t="shared" si="28"/>
        <v>unterhalb</v>
      </c>
      <c r="Y142" s="31" t="str">
        <f t="shared" si="29"/>
        <v/>
      </c>
      <c r="Z142" t="str">
        <f>IFERROR(VLOOKUP(A142,Unternehmen!$A:$D,4,FALSE()),"")</f>
        <v>Pharma &amp; Healthcare</v>
      </c>
    </row>
    <row r="143" spans="1:26" ht="15" customHeight="1" x14ac:dyDescent="0.35">
      <c r="A143" s="38" t="s">
        <v>71</v>
      </c>
      <c r="B143" s="23">
        <v>2020</v>
      </c>
      <c r="C143" s="23" t="s">
        <v>155</v>
      </c>
      <c r="D143" s="38" t="s">
        <v>386</v>
      </c>
      <c r="E143" s="23">
        <v>74</v>
      </c>
      <c r="F143" s="23" t="s">
        <v>137</v>
      </c>
      <c r="G143" s="23" t="s">
        <v>220</v>
      </c>
      <c r="H143" s="38" t="s">
        <v>221</v>
      </c>
      <c r="I143" s="25">
        <f>IF(ISNUMBER(K143),K143*1.01,"")</f>
        <v>1897.79</v>
      </c>
      <c r="J143" s="25">
        <f>IF(ISNUMBER(K143),K143*1.05,"")</f>
        <v>1972.95</v>
      </c>
      <c r="K143" s="25">
        <v>1879</v>
      </c>
      <c r="L143" s="25">
        <v>1796</v>
      </c>
      <c r="M143" s="25">
        <f t="shared" si="30"/>
        <v>-83</v>
      </c>
      <c r="N143" s="25" t="s">
        <v>389</v>
      </c>
      <c r="O143" s="38" t="s">
        <v>388</v>
      </c>
      <c r="P143" s="23">
        <v>3</v>
      </c>
      <c r="Q143" s="26"/>
      <c r="R143" s="31">
        <f t="shared" si="23"/>
        <v>1935.37</v>
      </c>
      <c r="S143" s="31">
        <f t="shared" si="24"/>
        <v>139.36999999999989</v>
      </c>
      <c r="T143" s="13">
        <f t="shared" si="25"/>
        <v>7.7600222717149156E-2</v>
      </c>
      <c r="U143" s="13">
        <f t="shared" si="26"/>
        <v>7.7600222717149156E-2</v>
      </c>
      <c r="V143" s="14">
        <f t="shared" si="27"/>
        <v>0</v>
      </c>
      <c r="W143" s="26"/>
      <c r="X143" t="str">
        <f t="shared" si="28"/>
        <v>unterhalb</v>
      </c>
      <c r="Y143" s="31" t="str">
        <f t="shared" si="29"/>
        <v/>
      </c>
      <c r="Z143" t="str">
        <f>IFERROR(VLOOKUP(A143,Unternehmen!$A:$D,4,FALSE()),"")</f>
        <v>Pharma &amp; Healthcare</v>
      </c>
    </row>
    <row r="144" spans="1:26" ht="15" customHeight="1" x14ac:dyDescent="0.35">
      <c r="A144" s="38" t="s">
        <v>71</v>
      </c>
      <c r="B144" s="23">
        <v>2021</v>
      </c>
      <c r="C144" s="23" t="s">
        <v>15</v>
      </c>
      <c r="D144" s="38" t="s">
        <v>388</v>
      </c>
      <c r="E144" s="23">
        <v>4</v>
      </c>
      <c r="F144" s="23" t="s">
        <v>133</v>
      </c>
      <c r="G144" s="23" t="s">
        <v>220</v>
      </c>
      <c r="H144" s="38" t="s">
        <v>221</v>
      </c>
      <c r="I144" s="49">
        <f>IF(ISNUMBER(K144),K144*1.01,"")</f>
        <v>36639.769999999997</v>
      </c>
      <c r="J144" s="49">
        <f>IF(ISNUMBER(K144),K144*1.06,"")</f>
        <v>38453.620000000003</v>
      </c>
      <c r="K144" s="25">
        <f>L142</f>
        <v>36277</v>
      </c>
      <c r="L144" s="25">
        <v>37520</v>
      </c>
      <c r="M144" s="25">
        <f t="shared" si="30"/>
        <v>1243</v>
      </c>
      <c r="N144" s="28" t="s">
        <v>208</v>
      </c>
      <c r="O144" s="38" t="s">
        <v>390</v>
      </c>
      <c r="P144" s="23">
        <v>3</v>
      </c>
      <c r="Q144" s="26"/>
      <c r="R144" s="31">
        <f t="shared" si="23"/>
        <v>37546.695</v>
      </c>
      <c r="S144" s="31">
        <f t="shared" si="24"/>
        <v>26.694999999999709</v>
      </c>
      <c r="T144" s="13">
        <f t="shared" si="25"/>
        <v>7.1148720682301999E-4</v>
      </c>
      <c r="U144" s="13">
        <f t="shared" si="26"/>
        <v>7.1148720682301999E-4</v>
      </c>
      <c r="V144" s="14">
        <f t="shared" si="27"/>
        <v>1</v>
      </c>
      <c r="W144" s="26"/>
      <c r="X144" t="str">
        <f t="shared" si="28"/>
        <v>nicht auswertbar</v>
      </c>
      <c r="Y144" s="31" t="str">
        <f t="shared" si="29"/>
        <v/>
      </c>
      <c r="Z144" t="str">
        <f>IFERROR(VLOOKUP(A144,Unternehmen!$A:$D,4,FALSE()),"")</f>
        <v>Pharma &amp; Healthcare</v>
      </c>
    </row>
    <row r="145" spans="1:26" ht="15" customHeight="1" x14ac:dyDescent="0.35">
      <c r="A145" s="38" t="s">
        <v>71</v>
      </c>
      <c r="B145" s="23">
        <v>2021</v>
      </c>
      <c r="C145" s="23" t="s">
        <v>155</v>
      </c>
      <c r="D145" s="38" t="s">
        <v>388</v>
      </c>
      <c r="E145" s="23">
        <v>4</v>
      </c>
      <c r="F145" s="23" t="s">
        <v>133</v>
      </c>
      <c r="G145" s="23" t="s">
        <v>220</v>
      </c>
      <c r="H145" s="38" t="s">
        <v>221</v>
      </c>
      <c r="I145" s="30"/>
      <c r="J145" s="30"/>
      <c r="K145" s="25">
        <f>L143</f>
        <v>1796</v>
      </c>
      <c r="L145" s="25">
        <v>1867</v>
      </c>
      <c r="M145" s="25">
        <f t="shared" si="30"/>
        <v>71</v>
      </c>
      <c r="N145" s="28" t="s">
        <v>208</v>
      </c>
      <c r="O145" s="38" t="s">
        <v>390</v>
      </c>
      <c r="P145" s="23">
        <v>3</v>
      </c>
      <c r="Q145" s="26"/>
      <c r="R145" s="31" t="str">
        <f t="shared" si="23"/>
        <v/>
      </c>
      <c r="S145" s="31" t="str">
        <f t="shared" si="24"/>
        <v/>
      </c>
      <c r="T145" s="13" t="str">
        <f t="shared" si="25"/>
        <v/>
      </c>
      <c r="U145" s="13" t="str">
        <f t="shared" si="26"/>
        <v/>
      </c>
      <c r="V145" s="14" t="str">
        <f t="shared" si="27"/>
        <v/>
      </c>
      <c r="W145" s="26" t="s">
        <v>391</v>
      </c>
      <c r="X145" t="str">
        <f t="shared" si="28"/>
        <v>nicht auswertbar</v>
      </c>
      <c r="Y145" s="31" t="str">
        <f t="shared" si="29"/>
        <v/>
      </c>
      <c r="Z145" t="str">
        <f>IFERROR(VLOOKUP(A145,Unternehmen!$A:$D,4,FALSE()),"")</f>
        <v>Pharma &amp; Healthcare</v>
      </c>
    </row>
    <row r="146" spans="1:26" ht="15" customHeight="1" x14ac:dyDescent="0.35">
      <c r="A146" s="38" t="s">
        <v>71</v>
      </c>
      <c r="B146" s="23">
        <v>2022</v>
      </c>
      <c r="C146" s="23" t="s">
        <v>15</v>
      </c>
      <c r="D146" s="38" t="s">
        <v>390</v>
      </c>
      <c r="E146" s="23">
        <v>4</v>
      </c>
      <c r="F146" s="23" t="s">
        <v>133</v>
      </c>
      <c r="G146" s="23" t="s">
        <v>220</v>
      </c>
      <c r="H146" s="38" t="s">
        <v>221</v>
      </c>
      <c r="I146" s="25">
        <f>IF(ISNUMBER(K146),K146*1.04,"")</f>
        <v>39020.800000000003</v>
      </c>
      <c r="J146" s="25">
        <f>IF(ISNUMBER(K146),K146*1.06,"")</f>
        <v>39771.200000000004</v>
      </c>
      <c r="K146" s="25">
        <f>L144</f>
        <v>37520</v>
      </c>
      <c r="L146" s="25">
        <v>40840</v>
      </c>
      <c r="M146" s="25">
        <f t="shared" si="30"/>
        <v>3320</v>
      </c>
      <c r="N146" s="28" t="s">
        <v>208</v>
      </c>
      <c r="O146" s="38" t="s">
        <v>392</v>
      </c>
      <c r="P146" s="23">
        <v>3</v>
      </c>
      <c r="Q146" s="26"/>
      <c r="R146" s="31">
        <f t="shared" si="23"/>
        <v>39396</v>
      </c>
      <c r="S146" s="31">
        <f t="shared" si="24"/>
        <v>-1444</v>
      </c>
      <c r="T146" s="13">
        <f t="shared" si="25"/>
        <v>-3.5357492654260532E-2</v>
      </c>
      <c r="U146" s="13">
        <f t="shared" si="26"/>
        <v>3.5357492654260532E-2</v>
      </c>
      <c r="V146" s="14">
        <f t="shared" si="27"/>
        <v>0</v>
      </c>
      <c r="W146" s="26"/>
      <c r="X146" t="str">
        <f t="shared" si="28"/>
        <v>nicht auswertbar</v>
      </c>
      <c r="Y146" s="31" t="str">
        <f t="shared" si="29"/>
        <v/>
      </c>
      <c r="Z146" t="str">
        <f>IFERROR(VLOOKUP(A146,Unternehmen!$A:$D,4,FALSE()),"")</f>
        <v>Pharma &amp; Healthcare</v>
      </c>
    </row>
    <row r="147" spans="1:26" ht="15" customHeight="1" x14ac:dyDescent="0.35">
      <c r="A147" s="38" t="s">
        <v>71</v>
      </c>
      <c r="B147" s="23">
        <v>2022</v>
      </c>
      <c r="C147" s="23" t="s">
        <v>155</v>
      </c>
      <c r="D147" s="38" t="s">
        <v>390</v>
      </c>
      <c r="E147" s="23">
        <v>4</v>
      </c>
      <c r="F147" s="23" t="s">
        <v>133</v>
      </c>
      <c r="G147" s="23" t="s">
        <v>220</v>
      </c>
      <c r="H147" s="38" t="s">
        <v>221</v>
      </c>
      <c r="I147" s="25">
        <f>IF(ISNUMBER(K147),K147*1.01,"")</f>
        <v>1885.67</v>
      </c>
      <c r="J147" s="25">
        <f>IF(ISNUMBER(K147),K147*1.03,"")</f>
        <v>1923.01</v>
      </c>
      <c r="K147" s="25">
        <f>L145</f>
        <v>1867</v>
      </c>
      <c r="L147" s="25">
        <v>1729</v>
      </c>
      <c r="M147" s="25">
        <f t="shared" si="30"/>
        <v>-138</v>
      </c>
      <c r="N147" s="25" t="s">
        <v>389</v>
      </c>
      <c r="O147" s="38" t="s">
        <v>392</v>
      </c>
      <c r="P147" s="23">
        <v>3</v>
      </c>
      <c r="Q147" s="26"/>
      <c r="R147" s="31">
        <f t="shared" si="23"/>
        <v>1904.3400000000001</v>
      </c>
      <c r="S147" s="31">
        <f t="shared" si="24"/>
        <v>175.34000000000015</v>
      </c>
      <c r="T147" s="13">
        <f t="shared" si="25"/>
        <v>0.10141122035858886</v>
      </c>
      <c r="U147" s="13">
        <f t="shared" si="26"/>
        <v>0.10141122035858886</v>
      </c>
      <c r="V147" s="14">
        <f t="shared" si="27"/>
        <v>0</v>
      </c>
      <c r="W147" s="26"/>
      <c r="X147" t="str">
        <f t="shared" si="28"/>
        <v>nicht auswertbar</v>
      </c>
      <c r="Y147" s="31" t="str">
        <f t="shared" si="29"/>
        <v/>
      </c>
      <c r="Z147" t="str">
        <f>IFERROR(VLOOKUP(A147,Unternehmen!$A:$D,4,FALSE()),"")</f>
        <v>Pharma &amp; Healthcare</v>
      </c>
    </row>
    <row r="148" spans="1:26" ht="15" customHeight="1" x14ac:dyDescent="0.35">
      <c r="A148" s="38" t="s">
        <v>71</v>
      </c>
      <c r="B148" s="23">
        <v>2023</v>
      </c>
      <c r="C148" s="23" t="s">
        <v>15</v>
      </c>
      <c r="D148" s="38" t="s">
        <v>392</v>
      </c>
      <c r="E148" s="23">
        <v>82</v>
      </c>
      <c r="F148" s="23" t="s">
        <v>133</v>
      </c>
      <c r="G148" s="23" t="s">
        <v>220</v>
      </c>
      <c r="H148" s="38" t="s">
        <v>221</v>
      </c>
      <c r="I148" s="25">
        <f>IF(ISNUMBER(K148),K148*1.01,"")</f>
        <v>21747.32</v>
      </c>
      <c r="J148" s="25">
        <f>IF(ISNUMBER(K148),K148*1.06,"")</f>
        <v>22823.920000000002</v>
      </c>
      <c r="K148" s="25">
        <v>21532</v>
      </c>
      <c r="L148" s="25">
        <v>22299</v>
      </c>
      <c r="M148" s="25">
        <f t="shared" si="30"/>
        <v>767</v>
      </c>
      <c r="N148" s="28" t="s">
        <v>208</v>
      </c>
      <c r="O148" s="38" t="s">
        <v>393</v>
      </c>
      <c r="P148" s="23">
        <v>3</v>
      </c>
      <c r="Q148" s="26" t="s">
        <v>394</v>
      </c>
      <c r="R148" s="31">
        <f t="shared" si="23"/>
        <v>22285.620000000003</v>
      </c>
      <c r="S148" s="31">
        <f t="shared" si="24"/>
        <v>-13.379999999997381</v>
      </c>
      <c r="T148" s="13">
        <f t="shared" si="25"/>
        <v>-6.0002690703607248E-4</v>
      </c>
      <c r="U148" s="13">
        <f t="shared" si="26"/>
        <v>6.0002690703607248E-4</v>
      </c>
      <c r="V148" s="14">
        <f t="shared" si="27"/>
        <v>1</v>
      </c>
      <c r="W148" s="26"/>
      <c r="X148" t="str">
        <f t="shared" si="28"/>
        <v>nicht auswertbar</v>
      </c>
      <c r="Y148" s="31" t="str">
        <f t="shared" si="29"/>
        <v/>
      </c>
      <c r="Z148" t="str">
        <f>IFERROR(VLOOKUP(A148,Unternehmen!$A:$D,4,FALSE()),"")</f>
        <v>Pharma &amp; Healthcare</v>
      </c>
    </row>
    <row r="149" spans="1:26" ht="15" customHeight="1" x14ac:dyDescent="0.35">
      <c r="A149" s="38" t="s">
        <v>71</v>
      </c>
      <c r="B149" s="23">
        <v>2023</v>
      </c>
      <c r="C149" s="23" t="s">
        <v>155</v>
      </c>
      <c r="D149" s="38" t="s">
        <v>392</v>
      </c>
      <c r="E149" s="23">
        <v>82</v>
      </c>
      <c r="F149" s="23" t="s">
        <v>133</v>
      </c>
      <c r="G149" s="23" t="s">
        <v>220</v>
      </c>
      <c r="H149" s="38" t="s">
        <v>221</v>
      </c>
      <c r="I149" s="25">
        <f>IF(ISNUMBER(K149),K149*0.91,"")</f>
        <v>1992.9</v>
      </c>
      <c r="J149" s="25">
        <f>IF(ISNUMBER(K149),K149*1,"")</f>
        <v>2190</v>
      </c>
      <c r="K149" s="25">
        <v>2190</v>
      </c>
      <c r="L149" s="25">
        <v>2262</v>
      </c>
      <c r="M149" s="25">
        <f t="shared" si="30"/>
        <v>72</v>
      </c>
      <c r="N149" s="29" t="s">
        <v>218</v>
      </c>
      <c r="O149" s="38" t="s">
        <v>393</v>
      </c>
      <c r="P149" s="23">
        <v>3</v>
      </c>
      <c r="Q149" s="26" t="s">
        <v>394</v>
      </c>
      <c r="R149" s="31">
        <f t="shared" si="23"/>
        <v>2091.4499999999998</v>
      </c>
      <c r="S149" s="31">
        <f t="shared" si="24"/>
        <v>-170.55000000000018</v>
      </c>
      <c r="T149" s="13">
        <f t="shared" si="25"/>
        <v>-7.5397877984084954E-2</v>
      </c>
      <c r="U149" s="13">
        <f t="shared" si="26"/>
        <v>7.5397877984084954E-2</v>
      </c>
      <c r="V149" s="14">
        <f t="shared" si="27"/>
        <v>0</v>
      </c>
      <c r="W149" s="26"/>
      <c r="X149" t="str">
        <f t="shared" si="28"/>
        <v>nicht auswertbar</v>
      </c>
      <c r="Y149" s="31" t="str">
        <f t="shared" si="29"/>
        <v/>
      </c>
      <c r="Z149" t="str">
        <f>IFERROR(VLOOKUP(A149,Unternehmen!$A:$D,4,FALSE()),"")</f>
        <v>Pharma &amp; Healthcare</v>
      </c>
    </row>
    <row r="150" spans="1:26" ht="15" customHeight="1" x14ac:dyDescent="0.35">
      <c r="A150" s="38" t="s">
        <v>71</v>
      </c>
      <c r="B150" s="23">
        <v>2024</v>
      </c>
      <c r="C150" s="23" t="s">
        <v>15</v>
      </c>
      <c r="D150" s="38" t="s">
        <v>393</v>
      </c>
      <c r="E150" s="23">
        <v>84</v>
      </c>
      <c r="F150" s="23" t="s">
        <v>137</v>
      </c>
      <c r="G150" s="23" t="s">
        <v>220</v>
      </c>
      <c r="H150" s="38" t="s">
        <v>221</v>
      </c>
      <c r="I150" s="25">
        <f>IF(ISNUMBER(K150),K150*1.03,"")</f>
        <v>20916.21</v>
      </c>
      <c r="J150" s="25">
        <f>IF(ISNUMBER(K150),K150*1.06,"")</f>
        <v>21525.420000000002</v>
      </c>
      <c r="K150" s="25">
        <v>20307</v>
      </c>
      <c r="L150" s="25">
        <v>21526</v>
      </c>
      <c r="M150" s="25">
        <f t="shared" si="30"/>
        <v>1219</v>
      </c>
      <c r="N150" s="28" t="s">
        <v>208</v>
      </c>
      <c r="O150" s="38" t="s">
        <v>395</v>
      </c>
      <c r="P150" s="23">
        <v>3</v>
      </c>
      <c r="Q150" s="26" t="s">
        <v>396</v>
      </c>
      <c r="R150" s="31">
        <f t="shared" si="23"/>
        <v>21220.815000000002</v>
      </c>
      <c r="S150" s="31">
        <f t="shared" si="24"/>
        <v>-305.18499999999767</v>
      </c>
      <c r="T150" s="13">
        <f t="shared" si="25"/>
        <v>-1.4177506271485537E-2</v>
      </c>
      <c r="U150" s="13">
        <f t="shared" si="26"/>
        <v>1.4177506271485537E-2</v>
      </c>
      <c r="V150" s="14">
        <f t="shared" si="27"/>
        <v>0</v>
      </c>
      <c r="W150" s="26"/>
      <c r="X150" t="str">
        <f t="shared" si="28"/>
        <v>oberhalb</v>
      </c>
      <c r="Y150" s="31" t="str">
        <f t="shared" si="29"/>
        <v/>
      </c>
      <c r="Z150" t="str">
        <f>IFERROR(VLOOKUP(A150,Unternehmen!$A:$D,4,FALSE()),"")</f>
        <v>Pharma &amp; Healthcare</v>
      </c>
    </row>
    <row r="151" spans="1:26" ht="15" customHeight="1" x14ac:dyDescent="0.35">
      <c r="A151" s="38" t="s">
        <v>71</v>
      </c>
      <c r="B151" s="23">
        <v>2024</v>
      </c>
      <c r="C151" s="23" t="s">
        <v>155</v>
      </c>
      <c r="D151" s="38" t="s">
        <v>393</v>
      </c>
      <c r="E151" s="23">
        <v>84</v>
      </c>
      <c r="F151" s="23" t="s">
        <v>137</v>
      </c>
      <c r="G151" s="23" t="s">
        <v>220</v>
      </c>
      <c r="H151" s="38" t="s">
        <v>221</v>
      </c>
      <c r="I151" s="25">
        <f>IF(ISNUMBER(K151),K151*1.04,"")</f>
        <v>2356.64</v>
      </c>
      <c r="J151" s="25">
        <f>IF(ISNUMBER(K151),K151*1.08,"")</f>
        <v>2447.2800000000002</v>
      </c>
      <c r="K151" s="25">
        <v>2266</v>
      </c>
      <c r="L151" s="25">
        <v>2489</v>
      </c>
      <c r="M151" s="25">
        <f t="shared" si="30"/>
        <v>223</v>
      </c>
      <c r="N151" s="29" t="s">
        <v>218</v>
      </c>
      <c r="O151" s="38" t="s">
        <v>395</v>
      </c>
      <c r="P151" s="23">
        <v>3</v>
      </c>
      <c r="Q151" s="26" t="s">
        <v>396</v>
      </c>
      <c r="R151" s="31">
        <f t="shared" si="23"/>
        <v>2401.96</v>
      </c>
      <c r="S151" s="31">
        <f t="shared" si="24"/>
        <v>-87.039999999999964</v>
      </c>
      <c r="T151" s="13">
        <f t="shared" si="25"/>
        <v>-3.4969867416633174E-2</v>
      </c>
      <c r="U151" s="13">
        <f t="shared" si="26"/>
        <v>3.4969867416633174E-2</v>
      </c>
      <c r="V151" s="14">
        <f t="shared" si="27"/>
        <v>0</v>
      </c>
      <c r="W151" s="26"/>
      <c r="X151" t="str">
        <f t="shared" si="28"/>
        <v>oberhalb</v>
      </c>
      <c r="Y151" s="31" t="str">
        <f t="shared" si="29"/>
        <v/>
      </c>
      <c r="Z151" t="str">
        <f>IFERROR(VLOOKUP(A151,Unternehmen!$A:$D,4,FALSE()),"")</f>
        <v>Pharma &amp; Healthcare</v>
      </c>
    </row>
    <row r="152" spans="1:26" ht="15" customHeight="1" x14ac:dyDescent="0.35">
      <c r="A152" s="38" t="s">
        <v>75</v>
      </c>
      <c r="B152" s="23">
        <v>2020</v>
      </c>
      <c r="C152" s="23" t="s">
        <v>15</v>
      </c>
      <c r="D152" s="38" t="s">
        <v>397</v>
      </c>
      <c r="E152" s="23">
        <v>66</v>
      </c>
      <c r="F152" s="23" t="s">
        <v>137</v>
      </c>
      <c r="G152" s="23" t="s">
        <v>220</v>
      </c>
      <c r="H152" s="38" t="s">
        <v>221</v>
      </c>
      <c r="I152" s="25">
        <f>IF(ISNUMBER(K152),K152*1.05,"")</f>
        <v>18350.850000000002</v>
      </c>
      <c r="J152" s="25">
        <f>IF(ISNUMBER(K152),K152*1.09,"")</f>
        <v>19049.93</v>
      </c>
      <c r="K152" s="25">
        <v>17477</v>
      </c>
      <c r="L152" s="25">
        <v>17859</v>
      </c>
      <c r="M152" s="25">
        <f t="shared" si="30"/>
        <v>382</v>
      </c>
      <c r="N152" s="25" t="s">
        <v>398</v>
      </c>
      <c r="O152" s="38" t="s">
        <v>399</v>
      </c>
      <c r="P152" s="23">
        <v>63</v>
      </c>
      <c r="Q152" s="26"/>
      <c r="R152" s="31">
        <f t="shared" si="23"/>
        <v>18700.39</v>
      </c>
      <c r="S152" s="31">
        <f t="shared" si="24"/>
        <v>841.38999999999942</v>
      </c>
      <c r="T152" s="13">
        <f t="shared" si="25"/>
        <v>4.7112940254213531E-2</v>
      </c>
      <c r="U152" s="13">
        <f t="shared" si="26"/>
        <v>4.7112940254213531E-2</v>
      </c>
      <c r="V152" s="14">
        <f t="shared" si="27"/>
        <v>0</v>
      </c>
      <c r="W152" s="26"/>
      <c r="X152" t="str">
        <f t="shared" si="28"/>
        <v>unterhalb</v>
      </c>
      <c r="Y152" s="31" t="str">
        <f t="shared" si="29"/>
        <v/>
      </c>
      <c r="Z152" t="str">
        <f>IFERROR(VLOOKUP(A152,Unternehmen!$A:$D,4,FALSE()),"")</f>
        <v>Pharma &amp; Healthcare</v>
      </c>
    </row>
    <row r="153" spans="1:26" ht="15" customHeight="1" x14ac:dyDescent="0.35">
      <c r="A153" s="38" t="s">
        <v>75</v>
      </c>
      <c r="B153" s="23">
        <v>2020</v>
      </c>
      <c r="C153" s="23" t="s">
        <v>155</v>
      </c>
      <c r="D153" s="38" t="s">
        <v>397</v>
      </c>
      <c r="E153" s="23">
        <v>66</v>
      </c>
      <c r="F153" s="23" t="s">
        <v>137</v>
      </c>
      <c r="G153" s="23" t="s">
        <v>220</v>
      </c>
      <c r="H153" s="38" t="s">
        <v>221</v>
      </c>
      <c r="I153" s="25">
        <f>IF(ISNUMBER(K153),K153*1.05,"")</f>
        <v>2473.8000000000002</v>
      </c>
      <c r="J153" s="25">
        <f>IF(ISNUMBER(K153),K153*1.09,"")</f>
        <v>2568.04</v>
      </c>
      <c r="K153" s="25">
        <v>2356</v>
      </c>
      <c r="L153" s="25">
        <v>2499</v>
      </c>
      <c r="M153" s="25">
        <f t="shared" si="30"/>
        <v>143</v>
      </c>
      <c r="N153" s="28" t="s">
        <v>208</v>
      </c>
      <c r="O153" s="38" t="s">
        <v>399</v>
      </c>
      <c r="P153" s="23">
        <v>63</v>
      </c>
      <c r="Q153" s="26"/>
      <c r="R153" s="31">
        <f t="shared" si="23"/>
        <v>2520.92</v>
      </c>
      <c r="S153" s="31">
        <f t="shared" si="24"/>
        <v>21.920000000000073</v>
      </c>
      <c r="T153" s="13">
        <f t="shared" si="25"/>
        <v>8.7715086034414053E-3</v>
      </c>
      <c r="U153" s="13">
        <f t="shared" si="26"/>
        <v>8.7715086034414053E-3</v>
      </c>
      <c r="V153" s="14">
        <f t="shared" si="27"/>
        <v>1</v>
      </c>
      <c r="W153" s="26"/>
      <c r="X153" t="str">
        <f t="shared" si="28"/>
        <v>innerhalb</v>
      </c>
      <c r="Y153" s="31" t="str">
        <f t="shared" si="29"/>
        <v/>
      </c>
      <c r="Z153" t="str">
        <f>IFERROR(VLOOKUP(A153,Unternehmen!$A:$D,4,FALSE()),"")</f>
        <v>Pharma &amp; Healthcare</v>
      </c>
    </row>
    <row r="154" spans="1:26" ht="15" customHeight="1" x14ac:dyDescent="0.35">
      <c r="A154" s="38" t="s">
        <v>75</v>
      </c>
      <c r="B154" s="23">
        <v>2021</v>
      </c>
      <c r="C154" s="23" t="s">
        <v>15</v>
      </c>
      <c r="D154" s="38" t="s">
        <v>399</v>
      </c>
      <c r="E154" s="23">
        <v>63</v>
      </c>
      <c r="F154" s="23" t="s">
        <v>137</v>
      </c>
      <c r="G154" s="23" t="s">
        <v>220</v>
      </c>
      <c r="H154" s="38" t="s">
        <v>221</v>
      </c>
      <c r="I154" s="25">
        <f>IF(ISNUMBER(K154),K154*1.01,"")</f>
        <v>18037.59</v>
      </c>
      <c r="J154" s="25">
        <f>IF(ISNUMBER(K154),K154*1.06,"")</f>
        <v>18930.54</v>
      </c>
      <c r="K154" s="25">
        <f t="shared" ref="K154:K161" si="31">L152</f>
        <v>17859</v>
      </c>
      <c r="L154" s="25">
        <v>17619</v>
      </c>
      <c r="M154" s="25">
        <f t="shared" si="30"/>
        <v>-240</v>
      </c>
      <c r="N154" s="25" t="s">
        <v>389</v>
      </c>
      <c r="O154" s="38" t="s">
        <v>400</v>
      </c>
      <c r="P154" s="23">
        <v>63</v>
      </c>
      <c r="Q154" s="26"/>
      <c r="R154" s="31">
        <f t="shared" si="23"/>
        <v>18484.065000000002</v>
      </c>
      <c r="S154" s="31">
        <f t="shared" si="24"/>
        <v>865.06500000000233</v>
      </c>
      <c r="T154" s="13">
        <f t="shared" si="25"/>
        <v>4.9098416482206843E-2</v>
      </c>
      <c r="U154" s="13">
        <f t="shared" si="26"/>
        <v>4.9098416482206843E-2</v>
      </c>
      <c r="V154" s="14">
        <f t="shared" si="27"/>
        <v>0</v>
      </c>
      <c r="W154" s="26"/>
      <c r="X154" t="str">
        <f t="shared" si="28"/>
        <v>unterhalb</v>
      </c>
      <c r="Y154" s="31" t="str">
        <f t="shared" si="29"/>
        <v/>
      </c>
      <c r="Z154" t="str">
        <f>IFERROR(VLOOKUP(A154,Unternehmen!$A:$D,4,FALSE()),"")</f>
        <v>Pharma &amp; Healthcare</v>
      </c>
    </row>
    <row r="155" spans="1:26" ht="15" customHeight="1" x14ac:dyDescent="0.35">
      <c r="A155" s="38" t="s">
        <v>75</v>
      </c>
      <c r="B155" s="23">
        <v>2021</v>
      </c>
      <c r="C155" s="23" t="s">
        <v>155</v>
      </c>
      <c r="D155" s="38" t="s">
        <v>399</v>
      </c>
      <c r="E155" s="23">
        <v>63</v>
      </c>
      <c r="F155" s="23" t="s">
        <v>137</v>
      </c>
      <c r="G155" s="23" t="s">
        <v>220</v>
      </c>
      <c r="H155" s="38" t="s">
        <v>221</v>
      </c>
      <c r="I155" s="25">
        <f>IF(ISNUMBER(K155),K155*1.01,"")</f>
        <v>2523.9900000000002</v>
      </c>
      <c r="J155" s="25">
        <f>IF(ISNUMBER(K155),K155*1.06,"")</f>
        <v>2648.94</v>
      </c>
      <c r="K155" s="25">
        <f t="shared" si="31"/>
        <v>2499</v>
      </c>
      <c r="L155" s="25">
        <v>1915</v>
      </c>
      <c r="M155" s="25">
        <f t="shared" si="30"/>
        <v>-584</v>
      </c>
      <c r="N155" s="25" t="s">
        <v>389</v>
      </c>
      <c r="O155" s="38" t="s">
        <v>400</v>
      </c>
      <c r="P155" s="23">
        <v>63</v>
      </c>
      <c r="Q155" s="26"/>
      <c r="R155" s="31">
        <f t="shared" si="23"/>
        <v>2586.4650000000001</v>
      </c>
      <c r="S155" s="31">
        <f t="shared" si="24"/>
        <v>671.46500000000015</v>
      </c>
      <c r="T155" s="13">
        <f t="shared" si="25"/>
        <v>0.35063446475195831</v>
      </c>
      <c r="U155" s="13">
        <f t="shared" si="26"/>
        <v>0.35063446475195831</v>
      </c>
      <c r="V155" s="14">
        <f t="shared" si="27"/>
        <v>0</v>
      </c>
      <c r="W155" s="26"/>
      <c r="X155" t="str">
        <f t="shared" si="28"/>
        <v>unterhalb</v>
      </c>
      <c r="Y155" s="31" t="str">
        <f t="shared" si="29"/>
        <v/>
      </c>
      <c r="Z155" t="str">
        <f>IFERROR(VLOOKUP(A155,Unternehmen!$A:$D,4,FALSE()),"")</f>
        <v>Pharma &amp; Healthcare</v>
      </c>
    </row>
    <row r="156" spans="1:26" ht="15" customHeight="1" x14ac:dyDescent="0.35">
      <c r="A156" s="38" t="s">
        <v>75</v>
      </c>
      <c r="B156" s="23">
        <v>2022</v>
      </c>
      <c r="C156" s="23" t="s">
        <v>15</v>
      </c>
      <c r="D156" s="38" t="s">
        <v>400</v>
      </c>
      <c r="E156" s="23">
        <v>63</v>
      </c>
      <c r="F156" s="23" t="s">
        <v>137</v>
      </c>
      <c r="G156" s="23" t="s">
        <v>220</v>
      </c>
      <c r="H156" s="38" t="s">
        <v>221</v>
      </c>
      <c r="I156" s="25">
        <f>IF(ISNUMBER(K156),K156*1.01,"")</f>
        <v>17795.189999999999</v>
      </c>
      <c r="J156" s="25">
        <f>IF(ISNUMBER(K156),K156*1.06,"")</f>
        <v>18676.14</v>
      </c>
      <c r="K156" s="25">
        <f t="shared" si="31"/>
        <v>17619</v>
      </c>
      <c r="L156" s="25">
        <v>19398</v>
      </c>
      <c r="M156" s="25">
        <f t="shared" si="30"/>
        <v>1779</v>
      </c>
      <c r="N156" s="29" t="s">
        <v>218</v>
      </c>
      <c r="O156" s="38" t="s">
        <v>401</v>
      </c>
      <c r="P156" s="23">
        <v>45</v>
      </c>
      <c r="Q156" s="26"/>
      <c r="R156" s="31">
        <f t="shared" si="23"/>
        <v>18235.665000000001</v>
      </c>
      <c r="S156" s="31">
        <f t="shared" si="24"/>
        <v>-1162.3349999999991</v>
      </c>
      <c r="T156" s="13">
        <f t="shared" si="25"/>
        <v>-5.9920352613671471E-2</v>
      </c>
      <c r="U156" s="13">
        <f t="shared" si="26"/>
        <v>5.9920352613671471E-2</v>
      </c>
      <c r="V156" s="14">
        <f t="shared" si="27"/>
        <v>0</v>
      </c>
      <c r="W156" s="26"/>
      <c r="X156" t="str">
        <f t="shared" si="28"/>
        <v>oberhalb</v>
      </c>
      <c r="Y156" s="31" t="str">
        <f t="shared" si="29"/>
        <v/>
      </c>
      <c r="Z156" t="str">
        <f>IFERROR(VLOOKUP(A156,Unternehmen!$A:$D,4,FALSE()),"")</f>
        <v>Pharma &amp; Healthcare</v>
      </c>
    </row>
    <row r="157" spans="1:26" ht="15" customHeight="1" x14ac:dyDescent="0.35">
      <c r="A157" s="38" t="s">
        <v>75</v>
      </c>
      <c r="B157" s="23">
        <v>2022</v>
      </c>
      <c r="C157" s="23" t="s">
        <v>155</v>
      </c>
      <c r="D157" s="38" t="s">
        <v>400</v>
      </c>
      <c r="E157" s="23">
        <v>63</v>
      </c>
      <c r="F157" s="23" t="s">
        <v>137</v>
      </c>
      <c r="G157" s="23" t="s">
        <v>220</v>
      </c>
      <c r="H157" s="38" t="s">
        <v>221</v>
      </c>
      <c r="I157" s="25">
        <f>IF(ISNUMBER(K157),K157*1.01,"")</f>
        <v>1934.15</v>
      </c>
      <c r="J157" s="25">
        <f>IF(ISNUMBER(K157),K157*1.06,"")</f>
        <v>2029.9</v>
      </c>
      <c r="K157" s="25">
        <f t="shared" si="31"/>
        <v>1915</v>
      </c>
      <c r="L157" s="25">
        <v>1817</v>
      </c>
      <c r="M157" s="25">
        <f t="shared" si="30"/>
        <v>-98</v>
      </c>
      <c r="N157" s="25" t="s">
        <v>389</v>
      </c>
      <c r="O157" s="38" t="s">
        <v>401</v>
      </c>
      <c r="P157" s="23">
        <v>45</v>
      </c>
      <c r="Q157" s="26"/>
      <c r="R157" s="31">
        <f t="shared" si="23"/>
        <v>1982.0250000000001</v>
      </c>
      <c r="S157" s="31">
        <f t="shared" si="24"/>
        <v>165.02500000000009</v>
      </c>
      <c r="T157" s="13">
        <f t="shared" si="25"/>
        <v>9.0822784810126636E-2</v>
      </c>
      <c r="U157" s="13">
        <f t="shared" si="26"/>
        <v>9.0822784810126636E-2</v>
      </c>
      <c r="V157" s="14">
        <f t="shared" si="27"/>
        <v>0</v>
      </c>
      <c r="W157" s="26"/>
      <c r="X157" t="str">
        <f t="shared" si="28"/>
        <v>unterhalb</v>
      </c>
      <c r="Y157" s="31" t="str">
        <f t="shared" si="29"/>
        <v/>
      </c>
      <c r="Z157" t="str">
        <f>IFERROR(VLOOKUP(A157,Unternehmen!$A:$D,4,FALSE()),"")</f>
        <v>Pharma &amp; Healthcare</v>
      </c>
    </row>
    <row r="158" spans="1:26" ht="15" customHeight="1" x14ac:dyDescent="0.35">
      <c r="A158" s="38" t="s">
        <v>75</v>
      </c>
      <c r="B158" s="23">
        <v>2023</v>
      </c>
      <c r="C158" s="23" t="s">
        <v>15</v>
      </c>
      <c r="D158" s="38" t="s">
        <v>401</v>
      </c>
      <c r="E158" s="23">
        <v>60</v>
      </c>
      <c r="F158" s="23" t="s">
        <v>137</v>
      </c>
      <c r="G158" s="23" t="s">
        <v>220</v>
      </c>
      <c r="H158" s="38" t="s">
        <v>221</v>
      </c>
      <c r="I158" s="25">
        <f>IF(ISNUMBER(K158),K158*1.01,"")</f>
        <v>19591.98</v>
      </c>
      <c r="J158" s="25">
        <f>IF(ISNUMBER(K158),K158*1.06,"")</f>
        <v>20561.88</v>
      </c>
      <c r="K158" s="25">
        <f t="shared" si="31"/>
        <v>19398</v>
      </c>
      <c r="L158" s="25">
        <v>19454</v>
      </c>
      <c r="M158" s="25">
        <f t="shared" si="30"/>
        <v>56</v>
      </c>
      <c r="N158" s="28" t="s">
        <v>208</v>
      </c>
      <c r="O158" s="38" t="s">
        <v>402</v>
      </c>
      <c r="P158" s="23">
        <v>72</v>
      </c>
      <c r="Q158" s="26"/>
      <c r="R158" s="31">
        <f t="shared" si="23"/>
        <v>20076.93</v>
      </c>
      <c r="S158" s="31">
        <f t="shared" si="24"/>
        <v>622.93000000000029</v>
      </c>
      <c r="T158" s="13">
        <f t="shared" si="25"/>
        <v>3.2020664130770038E-2</v>
      </c>
      <c r="U158" s="13">
        <f t="shared" si="26"/>
        <v>3.2020664130770038E-2</v>
      </c>
      <c r="V158" s="14">
        <f t="shared" si="27"/>
        <v>0</v>
      </c>
      <c r="W158" s="26"/>
      <c r="X158" t="str">
        <f t="shared" si="28"/>
        <v>unterhalb</v>
      </c>
      <c r="Y158" s="31" t="str">
        <f t="shared" si="29"/>
        <v/>
      </c>
      <c r="Z158" t="str">
        <f>IFERROR(VLOOKUP(A158,Unternehmen!$A:$D,4,FALSE()),"")</f>
        <v>Pharma &amp; Healthcare</v>
      </c>
    </row>
    <row r="159" spans="1:26" ht="15" customHeight="1" x14ac:dyDescent="0.35">
      <c r="A159" s="38" t="s">
        <v>75</v>
      </c>
      <c r="B159" s="23">
        <v>2023</v>
      </c>
      <c r="C159" s="23" t="s">
        <v>155</v>
      </c>
      <c r="D159" s="38" t="s">
        <v>401</v>
      </c>
      <c r="E159" s="23">
        <v>60</v>
      </c>
      <c r="F159" s="23" t="s">
        <v>137</v>
      </c>
      <c r="G159" s="23" t="s">
        <v>220</v>
      </c>
      <c r="H159" s="38" t="s">
        <v>221</v>
      </c>
      <c r="I159" s="25">
        <f>IF(ISNUMBER(K159),K159*0.91,"")</f>
        <v>1653.47</v>
      </c>
      <c r="J159" s="25">
        <f>IF(ISNUMBER(K159),K159*1,"")</f>
        <v>1817</v>
      </c>
      <c r="K159" s="25">
        <f t="shared" si="31"/>
        <v>1817</v>
      </c>
      <c r="L159" s="25">
        <v>1741</v>
      </c>
      <c r="M159" s="25">
        <f t="shared" si="30"/>
        <v>-76</v>
      </c>
      <c r="N159" s="28" t="s">
        <v>208</v>
      </c>
      <c r="O159" s="38" t="s">
        <v>402</v>
      </c>
      <c r="P159" s="23">
        <v>72</v>
      </c>
      <c r="Q159" s="26"/>
      <c r="R159" s="31">
        <f t="shared" si="23"/>
        <v>1735.2350000000001</v>
      </c>
      <c r="S159" s="31">
        <f t="shared" si="24"/>
        <v>-5.7649999999998727</v>
      </c>
      <c r="T159" s="13">
        <f t="shared" si="25"/>
        <v>-3.3113153360137121E-3</v>
      </c>
      <c r="U159" s="13">
        <f t="shared" si="26"/>
        <v>3.3113153360137121E-3</v>
      </c>
      <c r="V159" s="14">
        <f t="shared" si="27"/>
        <v>1</v>
      </c>
      <c r="W159" s="26"/>
      <c r="X159" t="str">
        <f t="shared" si="28"/>
        <v>innerhalb</v>
      </c>
      <c r="Y159" s="31" t="str">
        <f t="shared" si="29"/>
        <v/>
      </c>
      <c r="Z159" t="str">
        <f>IFERROR(VLOOKUP(A159,Unternehmen!$A:$D,4,FALSE()),"")</f>
        <v>Pharma &amp; Healthcare</v>
      </c>
    </row>
    <row r="160" spans="1:26" ht="15" customHeight="1" x14ac:dyDescent="0.35">
      <c r="A160" s="38" t="s">
        <v>75</v>
      </c>
      <c r="B160" s="23">
        <v>2024</v>
      </c>
      <c r="C160" s="23" t="s">
        <v>15</v>
      </c>
      <c r="D160" s="38" t="s">
        <v>402</v>
      </c>
      <c r="E160" s="23">
        <v>72</v>
      </c>
      <c r="F160" s="23" t="s">
        <v>137</v>
      </c>
      <c r="G160" s="23" t="s">
        <v>220</v>
      </c>
      <c r="H160" s="38" t="s">
        <v>221</v>
      </c>
      <c r="I160" s="25">
        <f>IF(ISNUMBER(K160),K160*1.01,"")</f>
        <v>19648.54</v>
      </c>
      <c r="J160" s="25">
        <f>IF(ISNUMBER(K160),K160*1.06,"")</f>
        <v>20621.240000000002</v>
      </c>
      <c r="K160" s="25">
        <f t="shared" si="31"/>
        <v>19454</v>
      </c>
      <c r="L160" s="25">
        <v>19336</v>
      </c>
      <c r="M160" s="25">
        <f t="shared" si="30"/>
        <v>-118</v>
      </c>
      <c r="N160" s="25" t="s">
        <v>389</v>
      </c>
      <c r="O160" s="38" t="s">
        <v>403</v>
      </c>
      <c r="P160" s="23">
        <v>183</v>
      </c>
      <c r="Q160" s="26"/>
      <c r="R160" s="31">
        <f t="shared" si="23"/>
        <v>20134.89</v>
      </c>
      <c r="S160" s="31">
        <f t="shared" si="24"/>
        <v>798.88999999999942</v>
      </c>
      <c r="T160" s="13">
        <f t="shared" si="25"/>
        <v>4.1316197765825374E-2</v>
      </c>
      <c r="U160" s="13">
        <f t="shared" si="26"/>
        <v>4.1316197765825374E-2</v>
      </c>
      <c r="V160" s="14">
        <f t="shared" si="27"/>
        <v>0</v>
      </c>
      <c r="W160" s="26"/>
      <c r="X160" t="str">
        <f t="shared" si="28"/>
        <v>unterhalb</v>
      </c>
      <c r="Y160" s="31" t="str">
        <f t="shared" si="29"/>
        <v/>
      </c>
      <c r="Z160" t="str">
        <f>IFERROR(VLOOKUP(A160,Unternehmen!$A:$D,4,FALSE()),"")</f>
        <v>Pharma &amp; Healthcare</v>
      </c>
    </row>
    <row r="161" spans="1:26" ht="15" customHeight="1" x14ac:dyDescent="0.35">
      <c r="A161" s="38" t="s">
        <v>75</v>
      </c>
      <c r="B161" s="23">
        <v>2024</v>
      </c>
      <c r="C161" s="23" t="s">
        <v>155</v>
      </c>
      <c r="D161" s="38" t="s">
        <v>402</v>
      </c>
      <c r="E161" s="23">
        <v>72</v>
      </c>
      <c r="F161" s="23" t="s">
        <v>137</v>
      </c>
      <c r="G161" s="23" t="s">
        <v>220</v>
      </c>
      <c r="H161" s="38" t="s">
        <v>221</v>
      </c>
      <c r="I161" s="25">
        <f>IF(ISNUMBER(K161),K161*1.14,"")</f>
        <v>1984.7399999999998</v>
      </c>
      <c r="J161" s="25">
        <f>IF(ISNUMBER(K161),K161*1.19,"")</f>
        <v>2071.79</v>
      </c>
      <c r="K161" s="25">
        <f t="shared" si="31"/>
        <v>1741</v>
      </c>
      <c r="L161" s="25">
        <v>1797</v>
      </c>
      <c r="M161" s="25">
        <f t="shared" si="30"/>
        <v>56</v>
      </c>
      <c r="N161" s="25" t="s">
        <v>404</v>
      </c>
      <c r="O161" s="38" t="s">
        <v>403</v>
      </c>
      <c r="P161" s="23">
        <v>183</v>
      </c>
      <c r="Q161" s="26"/>
      <c r="R161" s="31">
        <f t="shared" si="23"/>
        <v>2028.2649999999999</v>
      </c>
      <c r="S161" s="31">
        <f t="shared" si="24"/>
        <v>231.26499999999987</v>
      </c>
      <c r="T161" s="13">
        <f t="shared" si="25"/>
        <v>0.12869504730105724</v>
      </c>
      <c r="U161" s="13">
        <f t="shared" si="26"/>
        <v>0.12869504730105724</v>
      </c>
      <c r="V161" s="14">
        <f t="shared" si="27"/>
        <v>0</v>
      </c>
      <c r="W161" s="26"/>
      <c r="X161" t="str">
        <f t="shared" si="28"/>
        <v>unterhalb</v>
      </c>
      <c r="Y161" s="31" t="str">
        <f t="shared" si="29"/>
        <v/>
      </c>
      <c r="Z161" t="str">
        <f>IFERROR(VLOOKUP(A161,Unternehmen!$A:$D,4,FALSE()),"")</f>
        <v>Pharma &amp; Healthcare</v>
      </c>
    </row>
    <row r="162" spans="1:26" ht="15" customHeight="1" x14ac:dyDescent="0.35">
      <c r="A162" s="38" t="s">
        <v>77</v>
      </c>
      <c r="B162" s="23">
        <v>2020</v>
      </c>
      <c r="C162" s="23" t="s">
        <v>15</v>
      </c>
      <c r="D162" s="38" t="s">
        <v>405</v>
      </c>
      <c r="E162" s="23">
        <v>59</v>
      </c>
      <c r="F162" s="23" t="s">
        <v>133</v>
      </c>
      <c r="G162" s="23" t="s">
        <v>220</v>
      </c>
      <c r="H162" s="38" t="s">
        <v>221</v>
      </c>
      <c r="I162" s="30"/>
      <c r="J162" s="30"/>
      <c r="K162" s="25">
        <v>18851</v>
      </c>
      <c r="L162" s="25">
        <v>17606</v>
      </c>
      <c r="M162" s="25">
        <f t="shared" si="30"/>
        <v>-1245</v>
      </c>
      <c r="N162" s="25" t="s">
        <v>389</v>
      </c>
      <c r="O162" s="38" t="s">
        <v>406</v>
      </c>
      <c r="P162" s="23" t="s">
        <v>267</v>
      </c>
      <c r="Q162" s="26"/>
      <c r="R162" s="31" t="str">
        <f t="shared" si="23"/>
        <v/>
      </c>
      <c r="S162" s="31" t="str">
        <f t="shared" si="24"/>
        <v/>
      </c>
      <c r="T162" s="13" t="str">
        <f t="shared" si="25"/>
        <v/>
      </c>
      <c r="U162" s="13" t="str">
        <f t="shared" si="26"/>
        <v/>
      </c>
      <c r="V162" s="14" t="str">
        <f t="shared" si="27"/>
        <v/>
      </c>
      <c r="W162" s="26" t="s">
        <v>372</v>
      </c>
      <c r="X162" t="str">
        <f t="shared" si="28"/>
        <v>nicht auswertbar</v>
      </c>
      <c r="Y162" s="31" t="str">
        <f t="shared" si="29"/>
        <v/>
      </c>
      <c r="Z162" t="str">
        <f>IFERROR(VLOOKUP(A162,Unternehmen!$A:$D,4,FALSE()),"")</f>
        <v>Bau</v>
      </c>
    </row>
    <row r="163" spans="1:26" ht="15" customHeight="1" x14ac:dyDescent="0.35">
      <c r="A163" s="38" t="s">
        <v>77</v>
      </c>
      <c r="B163" s="23">
        <v>2020</v>
      </c>
      <c r="C163" s="23" t="s">
        <v>155</v>
      </c>
      <c r="D163" s="38" t="s">
        <v>405</v>
      </c>
      <c r="E163" s="23">
        <v>60</v>
      </c>
      <c r="F163" s="23" t="s">
        <v>133</v>
      </c>
      <c r="G163" s="23" t="s">
        <v>220</v>
      </c>
      <c r="H163" s="38" t="s">
        <v>221</v>
      </c>
      <c r="I163" s="30"/>
      <c r="J163" s="30"/>
      <c r="K163" s="25">
        <v>2186</v>
      </c>
      <c r="L163" s="25">
        <v>2363</v>
      </c>
      <c r="M163" s="25">
        <f t="shared" si="30"/>
        <v>177</v>
      </c>
      <c r="N163" s="28" t="s">
        <v>208</v>
      </c>
      <c r="O163" s="38" t="s">
        <v>406</v>
      </c>
      <c r="P163" s="23" t="s">
        <v>267</v>
      </c>
      <c r="Q163" s="26"/>
      <c r="R163" s="31" t="str">
        <f t="shared" si="23"/>
        <v/>
      </c>
      <c r="S163" s="31" t="str">
        <f t="shared" si="24"/>
        <v/>
      </c>
      <c r="T163" s="13" t="str">
        <f t="shared" si="25"/>
        <v/>
      </c>
      <c r="U163" s="13" t="str">
        <f t="shared" si="26"/>
        <v/>
      </c>
      <c r="V163" s="14" t="str">
        <f t="shared" si="27"/>
        <v/>
      </c>
      <c r="W163" s="26" t="s">
        <v>372</v>
      </c>
      <c r="X163" t="str">
        <f t="shared" si="28"/>
        <v>nicht auswertbar</v>
      </c>
      <c r="Y163" s="31" t="str">
        <f t="shared" si="29"/>
        <v/>
      </c>
      <c r="Z163" t="str">
        <f>IFERROR(VLOOKUP(A163,Unternehmen!$A:$D,4,FALSE()),"")</f>
        <v>Bau</v>
      </c>
    </row>
    <row r="164" spans="1:26" ht="15" customHeight="1" x14ac:dyDescent="0.35">
      <c r="A164" s="38" t="s">
        <v>77</v>
      </c>
      <c r="B164" s="23">
        <v>2021</v>
      </c>
      <c r="C164" s="23" t="s">
        <v>15</v>
      </c>
      <c r="D164" s="38" t="s">
        <v>406</v>
      </c>
      <c r="E164" s="23">
        <v>62</v>
      </c>
      <c r="F164" s="23" t="s">
        <v>133</v>
      </c>
      <c r="G164" s="23" t="s">
        <v>220</v>
      </c>
      <c r="H164" s="38" t="s">
        <v>221</v>
      </c>
      <c r="I164" s="30"/>
      <c r="J164" s="30"/>
      <c r="K164" s="25">
        <f t="shared" ref="K164:K171" si="32">L162</f>
        <v>17606</v>
      </c>
      <c r="L164" s="25">
        <v>18720</v>
      </c>
      <c r="M164" s="25">
        <f t="shared" si="30"/>
        <v>1114</v>
      </c>
      <c r="N164" s="28" t="s">
        <v>208</v>
      </c>
      <c r="O164" s="38" t="s">
        <v>407</v>
      </c>
      <c r="P164" s="23" t="s">
        <v>267</v>
      </c>
      <c r="Q164" s="26"/>
      <c r="R164" s="31" t="str">
        <f t="shared" si="23"/>
        <v/>
      </c>
      <c r="S164" s="31" t="str">
        <f t="shared" si="24"/>
        <v/>
      </c>
      <c r="T164" s="13" t="str">
        <f t="shared" si="25"/>
        <v/>
      </c>
      <c r="U164" s="13" t="str">
        <f t="shared" si="26"/>
        <v/>
      </c>
      <c r="V164" s="14" t="str">
        <f t="shared" si="27"/>
        <v/>
      </c>
      <c r="W164" s="26" t="s">
        <v>372</v>
      </c>
      <c r="X164" t="str">
        <f t="shared" si="28"/>
        <v>nicht auswertbar</v>
      </c>
      <c r="Y164" s="31" t="str">
        <f t="shared" si="29"/>
        <v/>
      </c>
      <c r="Z164" t="str">
        <f>IFERROR(VLOOKUP(A164,Unternehmen!$A:$D,4,FALSE()),"")</f>
        <v>Bau</v>
      </c>
    </row>
    <row r="165" spans="1:26" ht="15" customHeight="1" x14ac:dyDescent="0.35">
      <c r="A165" s="38" t="s">
        <v>77</v>
      </c>
      <c r="B165" s="23">
        <v>2021</v>
      </c>
      <c r="C165" s="23" t="s">
        <v>155</v>
      </c>
      <c r="D165" s="38" t="s">
        <v>406</v>
      </c>
      <c r="E165" s="23">
        <v>62</v>
      </c>
      <c r="F165" s="23" t="s">
        <v>133</v>
      </c>
      <c r="G165" s="23" t="s">
        <v>220</v>
      </c>
      <c r="H165" s="38" t="s">
        <v>221</v>
      </c>
      <c r="I165" s="30"/>
      <c r="J165" s="30"/>
      <c r="K165" s="25">
        <f t="shared" si="32"/>
        <v>2363</v>
      </c>
      <c r="L165" s="25">
        <v>2614</v>
      </c>
      <c r="M165" s="25">
        <f t="shared" si="30"/>
        <v>251</v>
      </c>
      <c r="N165" s="28" t="s">
        <v>208</v>
      </c>
      <c r="O165" s="38" t="s">
        <v>407</v>
      </c>
      <c r="P165" s="23" t="s">
        <v>267</v>
      </c>
      <c r="Q165" s="26"/>
      <c r="R165" s="31" t="str">
        <f t="shared" si="23"/>
        <v/>
      </c>
      <c r="S165" s="31" t="str">
        <f t="shared" si="24"/>
        <v/>
      </c>
      <c r="T165" s="13" t="str">
        <f t="shared" si="25"/>
        <v/>
      </c>
      <c r="U165" s="13" t="str">
        <f t="shared" si="26"/>
        <v/>
      </c>
      <c r="V165" s="14" t="str">
        <f t="shared" si="27"/>
        <v/>
      </c>
      <c r="W165" s="26" t="s">
        <v>372</v>
      </c>
      <c r="X165" t="str">
        <f t="shared" si="28"/>
        <v>nicht auswertbar</v>
      </c>
      <c r="Y165" s="31" t="str">
        <f t="shared" si="29"/>
        <v/>
      </c>
      <c r="Z165" t="str">
        <f>IFERROR(VLOOKUP(A165,Unternehmen!$A:$D,4,FALSE()),"")</f>
        <v>Bau</v>
      </c>
    </row>
    <row r="166" spans="1:26" ht="15" customHeight="1" x14ac:dyDescent="0.35">
      <c r="A166" s="38" t="s">
        <v>77</v>
      </c>
      <c r="B166" s="23">
        <v>2022</v>
      </c>
      <c r="C166" s="23" t="s">
        <v>15</v>
      </c>
      <c r="D166" s="38" t="s">
        <v>407</v>
      </c>
      <c r="E166" s="23">
        <v>70</v>
      </c>
      <c r="F166" s="23" t="s">
        <v>133</v>
      </c>
      <c r="G166" s="23" t="s">
        <v>220</v>
      </c>
      <c r="H166" s="38" t="s">
        <v>221</v>
      </c>
      <c r="I166" s="30"/>
      <c r="J166" s="30"/>
      <c r="K166" s="25">
        <f t="shared" si="32"/>
        <v>18720</v>
      </c>
      <c r="L166" s="25">
        <v>21095.1</v>
      </c>
      <c r="M166" s="25">
        <f t="shared" si="30"/>
        <v>2375.0999999999985</v>
      </c>
      <c r="N166" s="28" t="s">
        <v>208</v>
      </c>
      <c r="O166" s="38" t="s">
        <v>408</v>
      </c>
      <c r="P166" s="23">
        <v>79</v>
      </c>
      <c r="Q166" s="26"/>
      <c r="R166" s="31" t="str">
        <f t="shared" si="23"/>
        <v/>
      </c>
      <c r="S166" s="31" t="str">
        <f t="shared" si="24"/>
        <v/>
      </c>
      <c r="T166" s="13" t="str">
        <f t="shared" si="25"/>
        <v/>
      </c>
      <c r="U166" s="13" t="str">
        <f t="shared" si="26"/>
        <v/>
      </c>
      <c r="V166" s="14" t="str">
        <f t="shared" si="27"/>
        <v/>
      </c>
      <c r="W166" s="26" t="s">
        <v>409</v>
      </c>
      <c r="X166" t="str">
        <f t="shared" si="28"/>
        <v>nicht auswertbar</v>
      </c>
      <c r="Y166" s="31" t="str">
        <f t="shared" si="29"/>
        <v/>
      </c>
      <c r="Z166" t="str">
        <f>IFERROR(VLOOKUP(A166,Unternehmen!$A:$D,4,FALSE()),"")</f>
        <v>Bau</v>
      </c>
    </row>
    <row r="167" spans="1:26" ht="15" customHeight="1" x14ac:dyDescent="0.35">
      <c r="A167" s="38" t="s">
        <v>77</v>
      </c>
      <c r="B167" s="23">
        <v>2022</v>
      </c>
      <c r="C167" s="23" t="s">
        <v>155</v>
      </c>
      <c r="D167" s="38" t="s">
        <v>407</v>
      </c>
      <c r="E167" s="23">
        <v>69</v>
      </c>
      <c r="F167" s="23" t="s">
        <v>133</v>
      </c>
      <c r="G167" s="23" t="s">
        <v>220</v>
      </c>
      <c r="H167" s="38" t="s">
        <v>221</v>
      </c>
      <c r="I167" s="30"/>
      <c r="J167" s="30"/>
      <c r="K167" s="25">
        <f t="shared" si="32"/>
        <v>2614</v>
      </c>
      <c r="L167" s="25">
        <v>2475.6</v>
      </c>
      <c r="M167" s="25">
        <f t="shared" si="30"/>
        <v>-138.40000000000009</v>
      </c>
      <c r="N167" s="25" t="s">
        <v>389</v>
      </c>
      <c r="O167" s="38" t="s">
        <v>408</v>
      </c>
      <c r="P167" s="23">
        <v>79</v>
      </c>
      <c r="Q167" s="26"/>
      <c r="R167" s="31" t="str">
        <f t="shared" si="23"/>
        <v/>
      </c>
      <c r="S167" s="31" t="str">
        <f t="shared" si="24"/>
        <v/>
      </c>
      <c r="T167" s="13" t="str">
        <f t="shared" si="25"/>
        <v/>
      </c>
      <c r="U167" s="13" t="str">
        <f t="shared" si="26"/>
        <v/>
      </c>
      <c r="V167" s="14" t="str">
        <f t="shared" si="27"/>
        <v/>
      </c>
      <c r="W167" s="26" t="s">
        <v>372</v>
      </c>
      <c r="X167" t="str">
        <f t="shared" si="28"/>
        <v>nicht auswertbar</v>
      </c>
      <c r="Y167" s="31" t="str">
        <f t="shared" si="29"/>
        <v/>
      </c>
      <c r="Z167" t="str">
        <f>IFERROR(VLOOKUP(A167,Unternehmen!$A:$D,4,FALSE()),"")</f>
        <v>Bau</v>
      </c>
    </row>
    <row r="168" spans="1:26" ht="15" customHeight="1" x14ac:dyDescent="0.35">
      <c r="A168" s="38" t="s">
        <v>77</v>
      </c>
      <c r="B168" s="23">
        <v>2023</v>
      </c>
      <c r="C168" s="23" t="s">
        <v>15</v>
      </c>
      <c r="D168" s="38" t="s">
        <v>408</v>
      </c>
      <c r="E168" s="23">
        <v>131</v>
      </c>
      <c r="F168" s="23" t="s">
        <v>133</v>
      </c>
      <c r="G168" s="23" t="s">
        <v>220</v>
      </c>
      <c r="H168" s="38" t="s">
        <v>221</v>
      </c>
      <c r="I168" s="30"/>
      <c r="J168" s="30"/>
      <c r="K168" s="25">
        <f t="shared" si="32"/>
        <v>21095.1</v>
      </c>
      <c r="L168" s="25">
        <v>21177.599999999999</v>
      </c>
      <c r="M168" s="25">
        <f t="shared" si="30"/>
        <v>82.5</v>
      </c>
      <c r="N168" s="28" t="s">
        <v>208</v>
      </c>
      <c r="O168" s="50" t="s">
        <v>410</v>
      </c>
      <c r="P168" s="23">
        <v>187</v>
      </c>
      <c r="Q168" s="26"/>
      <c r="R168" s="31" t="str">
        <f t="shared" si="23"/>
        <v/>
      </c>
      <c r="S168" s="31" t="str">
        <f t="shared" si="24"/>
        <v/>
      </c>
      <c r="T168" s="13" t="str">
        <f t="shared" si="25"/>
        <v/>
      </c>
      <c r="U168" s="13" t="str">
        <f t="shared" si="26"/>
        <v/>
      </c>
      <c r="V168" s="14" t="str">
        <f t="shared" si="27"/>
        <v/>
      </c>
      <c r="W168" s="26" t="s">
        <v>411</v>
      </c>
      <c r="X168" t="str">
        <f t="shared" si="28"/>
        <v>nicht auswertbar</v>
      </c>
      <c r="Y168" s="31" t="str">
        <f t="shared" si="29"/>
        <v/>
      </c>
      <c r="Z168" t="str">
        <f>IFERROR(VLOOKUP(A168,Unternehmen!$A:$D,4,FALSE()),"")</f>
        <v>Bau</v>
      </c>
    </row>
    <row r="169" spans="1:26" ht="15" customHeight="1" x14ac:dyDescent="0.35">
      <c r="A169" s="38" t="s">
        <v>77</v>
      </c>
      <c r="B169" s="23">
        <v>2023</v>
      </c>
      <c r="C169" s="23" t="s">
        <v>155</v>
      </c>
      <c r="D169" s="38" t="s">
        <v>408</v>
      </c>
      <c r="E169" s="23">
        <v>131</v>
      </c>
      <c r="F169" s="23" t="s">
        <v>138</v>
      </c>
      <c r="G169" s="23" t="s">
        <v>220</v>
      </c>
      <c r="H169" s="38" t="s">
        <v>221</v>
      </c>
      <c r="I169" s="25">
        <v>2350</v>
      </c>
      <c r="J169" s="25">
        <v>2650</v>
      </c>
      <c r="K169" s="25">
        <f t="shared" si="32"/>
        <v>2475.6</v>
      </c>
      <c r="L169" s="25">
        <v>3022.5</v>
      </c>
      <c r="M169" s="25">
        <f t="shared" si="30"/>
        <v>546.90000000000009</v>
      </c>
      <c r="N169" s="29" t="s">
        <v>218</v>
      </c>
      <c r="O169" s="50" t="s">
        <v>410</v>
      </c>
      <c r="P169" s="23">
        <v>187</v>
      </c>
      <c r="Q169" s="26"/>
      <c r="R169" s="31">
        <f t="shared" si="23"/>
        <v>2500</v>
      </c>
      <c r="S169" s="31">
        <f t="shared" si="24"/>
        <v>-522.5</v>
      </c>
      <c r="T169" s="13">
        <f t="shared" si="25"/>
        <v>-0.17287014061207609</v>
      </c>
      <c r="U169" s="13">
        <f t="shared" si="26"/>
        <v>0.17287014061207609</v>
      </c>
      <c r="V169" s="14">
        <f t="shared" si="27"/>
        <v>0</v>
      </c>
      <c r="W169" s="26"/>
      <c r="X169" t="str">
        <f t="shared" si="28"/>
        <v>oberhalb</v>
      </c>
      <c r="Y169" s="31" t="str">
        <f t="shared" si="29"/>
        <v/>
      </c>
      <c r="Z169" t="str">
        <f>IFERROR(VLOOKUP(A169,Unternehmen!$A:$D,4,FALSE()),"")</f>
        <v>Bau</v>
      </c>
    </row>
    <row r="170" spans="1:26" ht="15" customHeight="1" x14ac:dyDescent="0.35">
      <c r="A170" s="38" t="s">
        <v>77</v>
      </c>
      <c r="B170" s="23">
        <v>2024</v>
      </c>
      <c r="C170" s="23" t="s">
        <v>15</v>
      </c>
      <c r="D170" s="50" t="s">
        <v>410</v>
      </c>
      <c r="E170" s="23">
        <v>146</v>
      </c>
      <c r="F170" s="23" t="s">
        <v>133</v>
      </c>
      <c r="G170" s="23" t="s">
        <v>220</v>
      </c>
      <c r="H170" s="38" t="s">
        <v>221</v>
      </c>
      <c r="I170" s="30"/>
      <c r="J170" s="30"/>
      <c r="K170" s="25">
        <f t="shared" si="32"/>
        <v>21177.599999999999</v>
      </c>
      <c r="L170" s="25">
        <v>21156.400000000001</v>
      </c>
      <c r="M170" s="25">
        <f t="shared" si="30"/>
        <v>-21.19999999999709</v>
      </c>
      <c r="N170" s="25" t="s">
        <v>389</v>
      </c>
      <c r="O170" s="38" t="s">
        <v>412</v>
      </c>
      <c r="P170" s="23">
        <v>207</v>
      </c>
      <c r="Q170" s="26"/>
      <c r="R170" s="31" t="str">
        <f t="shared" si="23"/>
        <v/>
      </c>
      <c r="S170" s="31" t="str">
        <f t="shared" si="24"/>
        <v/>
      </c>
      <c r="T170" s="13" t="str">
        <f t="shared" si="25"/>
        <v/>
      </c>
      <c r="U170" s="13" t="str">
        <f t="shared" si="26"/>
        <v/>
      </c>
      <c r="V170" s="14" t="str">
        <f t="shared" si="27"/>
        <v/>
      </c>
      <c r="W170" s="26" t="s">
        <v>372</v>
      </c>
      <c r="X170" t="str">
        <f t="shared" si="28"/>
        <v>nicht auswertbar</v>
      </c>
      <c r="Y170" s="31" t="str">
        <f t="shared" si="29"/>
        <v/>
      </c>
      <c r="Z170" t="str">
        <f>IFERROR(VLOOKUP(A170,Unternehmen!$A:$D,4,FALSE()),"")</f>
        <v>Bau</v>
      </c>
    </row>
    <row r="171" spans="1:26" ht="15" customHeight="1" x14ac:dyDescent="0.35">
      <c r="A171" s="38" t="s">
        <v>77</v>
      </c>
      <c r="B171" s="23">
        <v>2024</v>
      </c>
      <c r="C171" s="23" t="s">
        <v>155</v>
      </c>
      <c r="D171" s="50" t="s">
        <v>410</v>
      </c>
      <c r="E171" s="23">
        <v>146</v>
      </c>
      <c r="F171" s="23" t="s">
        <v>138</v>
      </c>
      <c r="G171" s="23" t="s">
        <v>220</v>
      </c>
      <c r="H171" s="38" t="s">
        <v>221</v>
      </c>
      <c r="I171" s="25">
        <v>3000</v>
      </c>
      <c r="J171" s="25">
        <v>3300</v>
      </c>
      <c r="K171" s="25">
        <f t="shared" si="32"/>
        <v>3022.5</v>
      </c>
      <c r="L171" s="25">
        <v>3204.1</v>
      </c>
      <c r="M171" s="25">
        <f t="shared" si="30"/>
        <v>181.59999999999991</v>
      </c>
      <c r="N171" s="28" t="s">
        <v>208</v>
      </c>
      <c r="O171" s="38" t="s">
        <v>412</v>
      </c>
      <c r="P171" s="23">
        <v>207</v>
      </c>
      <c r="Q171" s="26"/>
      <c r="R171" s="31">
        <f t="shared" si="23"/>
        <v>3150</v>
      </c>
      <c r="S171" s="31">
        <f t="shared" si="24"/>
        <v>-54.099999999999909</v>
      </c>
      <c r="T171" s="13">
        <f t="shared" si="25"/>
        <v>-1.6884616585000439E-2</v>
      </c>
      <c r="U171" s="13">
        <f t="shared" si="26"/>
        <v>1.6884616585000439E-2</v>
      </c>
      <c r="V171" s="14">
        <f t="shared" si="27"/>
        <v>1</v>
      </c>
      <c r="W171" s="26"/>
      <c r="X171" t="str">
        <f t="shared" si="28"/>
        <v>innerhalb</v>
      </c>
      <c r="Y171" s="31" t="str">
        <f t="shared" si="29"/>
        <v/>
      </c>
      <c r="Z171" t="str">
        <f>IFERROR(VLOOKUP(A171,Unternehmen!$A:$D,4,FALSE()),"")</f>
        <v>Bau</v>
      </c>
    </row>
    <row r="172" spans="1:26" ht="15" customHeight="1" x14ac:dyDescent="0.35">
      <c r="A172" s="38" t="s">
        <v>81</v>
      </c>
      <c r="B172" s="23">
        <v>2020</v>
      </c>
      <c r="C172" s="23" t="s">
        <v>15</v>
      </c>
      <c r="D172" s="50" t="s">
        <v>413</v>
      </c>
      <c r="E172" s="23">
        <v>133</v>
      </c>
      <c r="F172" s="23" t="s">
        <v>137</v>
      </c>
      <c r="G172" s="23" t="s">
        <v>199</v>
      </c>
      <c r="H172" s="23" t="s">
        <v>200</v>
      </c>
      <c r="I172" s="24">
        <v>0</v>
      </c>
      <c r="J172" s="24">
        <v>0.02</v>
      </c>
      <c r="K172" s="24">
        <v>0</v>
      </c>
      <c r="L172" s="24">
        <v>-7.0000000000000001E-3</v>
      </c>
      <c r="M172" s="24" t="s">
        <v>281</v>
      </c>
      <c r="N172" s="25" t="s">
        <v>281</v>
      </c>
      <c r="O172" s="38" t="s">
        <v>414</v>
      </c>
      <c r="P172" s="23">
        <v>2</v>
      </c>
      <c r="Q172" s="26"/>
      <c r="R172" s="13">
        <f t="shared" si="23"/>
        <v>0.01</v>
      </c>
      <c r="S172" s="13">
        <f t="shared" si="24"/>
        <v>1.7000000000000001E-2</v>
      </c>
      <c r="T172" s="13" t="str">
        <f t="shared" si="25"/>
        <v/>
      </c>
      <c r="U172" s="13" t="str">
        <f t="shared" si="26"/>
        <v/>
      </c>
      <c r="V172" s="14">
        <f t="shared" si="27"/>
        <v>0</v>
      </c>
      <c r="W172" s="26"/>
      <c r="X172" t="str">
        <f t="shared" si="28"/>
        <v>unterhalb</v>
      </c>
      <c r="Y172" s="13">
        <f t="shared" si="29"/>
        <v>1.7000000000000001E-2</v>
      </c>
      <c r="Z172" t="str">
        <f>IFERROR(VLOOKUP(A172,Unternehmen!$A:$D,4,FALSE()),"")</f>
        <v>Konsumgueter</v>
      </c>
    </row>
    <row r="173" spans="1:26" ht="15" customHeight="1" x14ac:dyDescent="0.35">
      <c r="A173" s="38" t="s">
        <v>81</v>
      </c>
      <c r="B173" s="23">
        <v>2020</v>
      </c>
      <c r="C173" s="23" t="s">
        <v>155</v>
      </c>
      <c r="D173" s="50" t="s">
        <v>413</v>
      </c>
      <c r="E173" s="23">
        <v>133</v>
      </c>
      <c r="F173" s="23" t="s">
        <v>139</v>
      </c>
      <c r="G173" s="23" t="s">
        <v>203</v>
      </c>
      <c r="H173" s="38" t="s">
        <v>324</v>
      </c>
      <c r="I173" s="24">
        <v>0.15</v>
      </c>
      <c r="J173" s="24">
        <v>0.15</v>
      </c>
      <c r="K173" s="24">
        <v>0.16</v>
      </c>
      <c r="L173" s="24">
        <v>0.13400000000000001</v>
      </c>
      <c r="M173" s="24" t="s">
        <v>415</v>
      </c>
      <c r="N173" s="27" t="s">
        <v>416</v>
      </c>
      <c r="O173" s="38" t="s">
        <v>414</v>
      </c>
      <c r="P173" s="23">
        <v>2</v>
      </c>
      <c r="Q173" s="26"/>
      <c r="R173" s="13">
        <f t="shared" si="23"/>
        <v>0.15</v>
      </c>
      <c r="S173" s="13">
        <f t="shared" si="24"/>
        <v>1.5999999999999986E-2</v>
      </c>
      <c r="T173" s="13" t="str">
        <f t="shared" si="25"/>
        <v/>
      </c>
      <c r="U173" s="13" t="str">
        <f t="shared" si="26"/>
        <v/>
      </c>
      <c r="V173" s="14" t="str">
        <f t="shared" si="27"/>
        <v/>
      </c>
      <c r="W173" s="26"/>
      <c r="X173" t="str">
        <f t="shared" si="28"/>
        <v>Punktprognose</v>
      </c>
      <c r="Y173" s="13">
        <f t="shared" si="29"/>
        <v>1.5999999999999986E-2</v>
      </c>
      <c r="Z173" t="str">
        <f>IFERROR(VLOOKUP(A173,Unternehmen!$A:$D,4,FALSE()),"")</f>
        <v>Konsumgueter</v>
      </c>
    </row>
    <row r="174" spans="1:26" ht="15" customHeight="1" x14ac:dyDescent="0.35">
      <c r="A174" s="38" t="s">
        <v>81</v>
      </c>
      <c r="B174" s="23">
        <v>2021</v>
      </c>
      <c r="C174" s="23" t="s">
        <v>15</v>
      </c>
      <c r="D174" s="38" t="s">
        <v>414</v>
      </c>
      <c r="E174" s="23">
        <v>167</v>
      </c>
      <c r="F174" s="23" t="s">
        <v>137</v>
      </c>
      <c r="G174" s="23" t="s">
        <v>199</v>
      </c>
      <c r="H174" s="23" t="s">
        <v>200</v>
      </c>
      <c r="I174" s="24">
        <v>0.02</v>
      </c>
      <c r="J174" s="24">
        <v>0.05</v>
      </c>
      <c r="K174" s="24">
        <f t="shared" ref="K174:K181" si="33">L172</f>
        <v>-7.0000000000000001E-3</v>
      </c>
      <c r="L174" s="24">
        <v>7.8E-2</v>
      </c>
      <c r="M174" s="24" t="s">
        <v>417</v>
      </c>
      <c r="N174" s="29" t="s">
        <v>218</v>
      </c>
      <c r="O174" s="38" t="s">
        <v>418</v>
      </c>
      <c r="P174" s="23">
        <v>2</v>
      </c>
      <c r="Q174" s="26"/>
      <c r="R174" s="13">
        <f t="shared" si="23"/>
        <v>3.5000000000000003E-2</v>
      </c>
      <c r="S174" s="13">
        <f t="shared" si="24"/>
        <v>-4.2999999999999997E-2</v>
      </c>
      <c r="T174" s="13" t="str">
        <f t="shared" si="25"/>
        <v/>
      </c>
      <c r="U174" s="13" t="str">
        <f t="shared" si="26"/>
        <v/>
      </c>
      <c r="V174" s="14">
        <f t="shared" si="27"/>
        <v>0</v>
      </c>
      <c r="W174" s="26"/>
      <c r="X174" t="str">
        <f t="shared" si="28"/>
        <v>oberhalb</v>
      </c>
      <c r="Y174" s="13">
        <f t="shared" si="29"/>
        <v>4.2999999999999997E-2</v>
      </c>
      <c r="Z174" t="str">
        <f>IFERROR(VLOOKUP(A174,Unternehmen!$A:$D,4,FALSE()),"")</f>
        <v>Konsumgueter</v>
      </c>
    </row>
    <row r="175" spans="1:26" ht="15" customHeight="1" x14ac:dyDescent="0.35">
      <c r="A175" s="38" t="s">
        <v>81</v>
      </c>
      <c r="B175" s="23">
        <v>2021</v>
      </c>
      <c r="C175" s="23" t="s">
        <v>155</v>
      </c>
      <c r="D175" s="38" t="s">
        <v>414</v>
      </c>
      <c r="E175" s="23">
        <v>168</v>
      </c>
      <c r="F175" s="23" t="s">
        <v>137</v>
      </c>
      <c r="G175" s="23" t="s">
        <v>203</v>
      </c>
      <c r="H175" s="38" t="s">
        <v>324</v>
      </c>
      <c r="I175" s="24">
        <v>0.13500000000000001</v>
      </c>
      <c r="J175" s="24">
        <v>0.14499999999999999</v>
      </c>
      <c r="K175" s="24">
        <f t="shared" si="33"/>
        <v>0.13400000000000001</v>
      </c>
      <c r="L175" s="24">
        <v>0.13400000000000001</v>
      </c>
      <c r="M175" s="24" t="s">
        <v>419</v>
      </c>
      <c r="N175" s="25" t="s">
        <v>420</v>
      </c>
      <c r="O175" s="38" t="s">
        <v>418</v>
      </c>
      <c r="P175" s="23">
        <v>2</v>
      </c>
      <c r="Q175" s="26"/>
      <c r="R175" s="13">
        <f t="shared" si="23"/>
        <v>0.14000000000000001</v>
      </c>
      <c r="S175" s="13">
        <f t="shared" si="24"/>
        <v>6.0000000000000053E-3</v>
      </c>
      <c r="T175" s="13" t="str">
        <f t="shared" si="25"/>
        <v/>
      </c>
      <c r="U175" s="13" t="str">
        <f t="shared" si="26"/>
        <v/>
      </c>
      <c r="V175" s="14">
        <f t="shared" si="27"/>
        <v>0</v>
      </c>
      <c r="W175" s="26"/>
      <c r="X175" t="str">
        <f t="shared" si="28"/>
        <v>unterhalb</v>
      </c>
      <c r="Y175" s="13">
        <f t="shared" si="29"/>
        <v>6.0000000000000053E-3</v>
      </c>
      <c r="Z175" t="str">
        <f>IFERROR(VLOOKUP(A175,Unternehmen!$A:$D,4,FALSE()),"")</f>
        <v>Konsumgueter</v>
      </c>
    </row>
    <row r="176" spans="1:26" ht="15" customHeight="1" x14ac:dyDescent="0.35">
      <c r="A176" s="38" t="s">
        <v>81</v>
      </c>
      <c r="B176" s="23">
        <v>2022</v>
      </c>
      <c r="C176" s="23" t="s">
        <v>15</v>
      </c>
      <c r="D176" s="38" t="s">
        <v>418</v>
      </c>
      <c r="E176" s="23">
        <v>172</v>
      </c>
      <c r="F176" s="23" t="s">
        <v>137</v>
      </c>
      <c r="G176" s="23" t="s">
        <v>199</v>
      </c>
      <c r="H176" s="23" t="s">
        <v>200</v>
      </c>
      <c r="I176" s="24">
        <v>0.02</v>
      </c>
      <c r="J176" s="24">
        <v>0.04</v>
      </c>
      <c r="K176" s="24">
        <f t="shared" si="33"/>
        <v>7.8E-2</v>
      </c>
      <c r="L176" s="24">
        <v>8.7999999999999995E-2</v>
      </c>
      <c r="M176" s="24" t="s">
        <v>421</v>
      </c>
      <c r="N176" s="29" t="s">
        <v>218</v>
      </c>
      <c r="O176" s="38" t="s">
        <v>422</v>
      </c>
      <c r="P176" s="23">
        <v>2</v>
      </c>
      <c r="Q176" s="26"/>
      <c r="R176" s="13">
        <f t="shared" si="23"/>
        <v>0.03</v>
      </c>
      <c r="S176" s="13">
        <f t="shared" si="24"/>
        <v>-5.7999999999999996E-2</v>
      </c>
      <c r="T176" s="13" t="str">
        <f t="shared" si="25"/>
        <v/>
      </c>
      <c r="U176" s="13" t="str">
        <f t="shared" si="26"/>
        <v/>
      </c>
      <c r="V176" s="14">
        <f t="shared" si="27"/>
        <v>0</v>
      </c>
      <c r="W176" s="26"/>
      <c r="X176" t="str">
        <f t="shared" si="28"/>
        <v>oberhalb</v>
      </c>
      <c r="Y176" s="13">
        <f t="shared" si="29"/>
        <v>5.7999999999999996E-2</v>
      </c>
      <c r="Z176" t="str">
        <f>IFERROR(VLOOKUP(A176,Unternehmen!$A:$D,4,FALSE()),"")</f>
        <v>Konsumgueter</v>
      </c>
    </row>
    <row r="177" spans="1:26" ht="15" customHeight="1" x14ac:dyDescent="0.35">
      <c r="A177" s="38" t="s">
        <v>81</v>
      </c>
      <c r="B177" s="23">
        <v>2022</v>
      </c>
      <c r="C177" s="23" t="s">
        <v>155</v>
      </c>
      <c r="D177" s="38" t="s">
        <v>418</v>
      </c>
      <c r="E177" s="23">
        <v>173</v>
      </c>
      <c r="F177" s="23" t="s">
        <v>137</v>
      </c>
      <c r="G177" s="23" t="s">
        <v>203</v>
      </c>
      <c r="H177" s="38" t="s">
        <v>324</v>
      </c>
      <c r="I177" s="24">
        <v>0.115</v>
      </c>
      <c r="J177" s="24">
        <v>0.13500000000000001</v>
      </c>
      <c r="K177" s="24">
        <f t="shared" si="33"/>
        <v>0.13400000000000001</v>
      </c>
      <c r="L177" s="24">
        <v>0.104</v>
      </c>
      <c r="M177" s="24" t="s">
        <v>217</v>
      </c>
      <c r="N177" s="27" t="s">
        <v>423</v>
      </c>
      <c r="O177" s="38" t="s">
        <v>422</v>
      </c>
      <c r="P177" s="23">
        <v>2</v>
      </c>
      <c r="Q177" s="26"/>
      <c r="R177" s="13">
        <f t="shared" si="23"/>
        <v>0.125</v>
      </c>
      <c r="S177" s="13">
        <f t="shared" si="24"/>
        <v>2.1000000000000005E-2</v>
      </c>
      <c r="T177" s="13" t="str">
        <f t="shared" si="25"/>
        <v/>
      </c>
      <c r="U177" s="13" t="str">
        <f t="shared" si="26"/>
        <v/>
      </c>
      <c r="V177" s="14">
        <f t="shared" si="27"/>
        <v>0</v>
      </c>
      <c r="W177" s="26"/>
      <c r="X177" t="str">
        <f t="shared" si="28"/>
        <v>unterhalb</v>
      </c>
      <c r="Y177" s="13">
        <f t="shared" si="29"/>
        <v>2.1000000000000005E-2</v>
      </c>
      <c r="Z177" t="str">
        <f>IFERROR(VLOOKUP(A177,Unternehmen!$A:$D,4,FALSE()),"")</f>
        <v>Konsumgueter</v>
      </c>
    </row>
    <row r="178" spans="1:26" ht="15" customHeight="1" x14ac:dyDescent="0.35">
      <c r="A178" s="38" t="s">
        <v>81</v>
      </c>
      <c r="B178" s="23">
        <v>2023</v>
      </c>
      <c r="C178" s="23" t="s">
        <v>15</v>
      </c>
      <c r="D178" s="38" t="s">
        <v>422</v>
      </c>
      <c r="E178" s="23">
        <v>197</v>
      </c>
      <c r="F178" s="23" t="s">
        <v>137</v>
      </c>
      <c r="G178" s="23" t="s">
        <v>199</v>
      </c>
      <c r="H178" s="23" t="s">
        <v>200</v>
      </c>
      <c r="I178" s="24">
        <v>0.01</v>
      </c>
      <c r="J178" s="24">
        <v>0.03</v>
      </c>
      <c r="K178" s="24">
        <f t="shared" si="33"/>
        <v>8.7999999999999995E-2</v>
      </c>
      <c r="L178" s="24">
        <v>4.2000000000000003E-2</v>
      </c>
      <c r="M178" s="24" t="s">
        <v>424</v>
      </c>
      <c r="N178" s="29" t="s">
        <v>218</v>
      </c>
      <c r="O178" s="38" t="s">
        <v>425</v>
      </c>
      <c r="P178" s="23">
        <v>1</v>
      </c>
      <c r="Q178" s="26"/>
      <c r="R178" s="13">
        <f t="shared" si="23"/>
        <v>0.02</v>
      </c>
      <c r="S178" s="13">
        <f t="shared" si="24"/>
        <v>-2.2000000000000002E-2</v>
      </c>
      <c r="T178" s="13" t="str">
        <f t="shared" si="25"/>
        <v/>
      </c>
      <c r="U178" s="13" t="str">
        <f t="shared" si="26"/>
        <v/>
      </c>
      <c r="V178" s="14">
        <f t="shared" si="27"/>
        <v>0</v>
      </c>
      <c r="W178" s="26"/>
      <c r="X178" t="str">
        <f t="shared" si="28"/>
        <v>oberhalb</v>
      </c>
      <c r="Y178" s="13">
        <f t="shared" si="29"/>
        <v>2.2000000000000002E-2</v>
      </c>
      <c r="Z178" t="str">
        <f>IFERROR(VLOOKUP(A178,Unternehmen!$A:$D,4,FALSE()),"")</f>
        <v>Konsumgueter</v>
      </c>
    </row>
    <row r="179" spans="1:26" ht="15" customHeight="1" x14ac:dyDescent="0.35">
      <c r="A179" s="38" t="s">
        <v>81</v>
      </c>
      <c r="B179" s="23">
        <v>2023</v>
      </c>
      <c r="C179" s="23" t="s">
        <v>155</v>
      </c>
      <c r="D179" s="38" t="s">
        <v>422</v>
      </c>
      <c r="E179" s="23">
        <v>198</v>
      </c>
      <c r="F179" s="23" t="s">
        <v>137</v>
      </c>
      <c r="G179" s="23" t="s">
        <v>203</v>
      </c>
      <c r="H179" s="38" t="s">
        <v>324</v>
      </c>
      <c r="I179" s="24">
        <v>0.1</v>
      </c>
      <c r="J179" s="24">
        <v>0.12</v>
      </c>
      <c r="K179" s="24">
        <f t="shared" si="33"/>
        <v>0.104</v>
      </c>
      <c r="L179" s="24">
        <v>0.11899999999999999</v>
      </c>
      <c r="M179" s="24" t="s">
        <v>332</v>
      </c>
      <c r="N179" s="28" t="s">
        <v>208</v>
      </c>
      <c r="O179" s="38" t="s">
        <v>425</v>
      </c>
      <c r="P179" s="23">
        <v>1</v>
      </c>
      <c r="Q179" s="26"/>
      <c r="R179" s="13">
        <f t="shared" si="23"/>
        <v>0.11</v>
      </c>
      <c r="S179" s="13">
        <f t="shared" si="24"/>
        <v>-8.9999999999999941E-3</v>
      </c>
      <c r="T179" s="13" t="str">
        <f t="shared" si="25"/>
        <v/>
      </c>
      <c r="U179" s="13" t="str">
        <f t="shared" si="26"/>
        <v/>
      </c>
      <c r="V179" s="14">
        <f t="shared" si="27"/>
        <v>1</v>
      </c>
      <c r="W179" s="26"/>
      <c r="X179" t="str">
        <f t="shared" si="28"/>
        <v>innerhalb</v>
      </c>
      <c r="Y179" s="13">
        <f t="shared" si="29"/>
        <v>8.9999999999999941E-3</v>
      </c>
      <c r="Z179" t="str">
        <f>IFERROR(VLOOKUP(A179,Unternehmen!$A:$D,4,FALSE()),"")</f>
        <v>Konsumgueter</v>
      </c>
    </row>
    <row r="180" spans="1:26" ht="15" customHeight="1" x14ac:dyDescent="0.35">
      <c r="A180" s="38" t="s">
        <v>81</v>
      </c>
      <c r="B180" s="23">
        <v>2024</v>
      </c>
      <c r="C180" s="23" t="s">
        <v>15</v>
      </c>
      <c r="D180" s="38" t="s">
        <v>425</v>
      </c>
      <c r="E180" s="23">
        <v>207</v>
      </c>
      <c r="F180" s="23" t="s">
        <v>137</v>
      </c>
      <c r="G180" s="23" t="s">
        <v>199</v>
      </c>
      <c r="H180" s="23" t="s">
        <v>200</v>
      </c>
      <c r="I180" s="24">
        <v>0.02</v>
      </c>
      <c r="J180" s="24">
        <v>0.04</v>
      </c>
      <c r="K180" s="24">
        <f t="shared" si="33"/>
        <v>4.2000000000000003E-2</v>
      </c>
      <c r="L180" s="24">
        <v>2.5999999999999999E-2</v>
      </c>
      <c r="M180" s="24" t="s">
        <v>416</v>
      </c>
      <c r="N180" s="28" t="s">
        <v>208</v>
      </c>
      <c r="O180" s="38" t="s">
        <v>426</v>
      </c>
      <c r="P180" s="23">
        <v>1</v>
      </c>
      <c r="Q180" s="26"/>
      <c r="R180" s="13">
        <f t="shared" si="23"/>
        <v>0.03</v>
      </c>
      <c r="S180" s="13">
        <f t="shared" si="24"/>
        <v>4.0000000000000001E-3</v>
      </c>
      <c r="T180" s="13" t="str">
        <f t="shared" si="25"/>
        <v/>
      </c>
      <c r="U180" s="13" t="str">
        <f t="shared" si="26"/>
        <v/>
      </c>
      <c r="V180" s="14">
        <f t="shared" si="27"/>
        <v>1</v>
      </c>
      <c r="W180" s="26"/>
      <c r="X180" t="str">
        <f t="shared" si="28"/>
        <v>innerhalb</v>
      </c>
      <c r="Y180" s="13">
        <f t="shared" si="29"/>
        <v>4.0000000000000001E-3</v>
      </c>
      <c r="Z180" t="str">
        <f>IFERROR(VLOOKUP(A180,Unternehmen!$A:$D,4,FALSE()),"")</f>
        <v>Konsumgueter</v>
      </c>
    </row>
    <row r="181" spans="1:26" ht="15" customHeight="1" x14ac:dyDescent="0.35">
      <c r="A181" s="38" t="s">
        <v>81</v>
      </c>
      <c r="B181" s="23">
        <v>2024</v>
      </c>
      <c r="C181" s="23" t="s">
        <v>155</v>
      </c>
      <c r="D181" s="38" t="s">
        <v>425</v>
      </c>
      <c r="E181" s="23">
        <v>207</v>
      </c>
      <c r="F181" s="23" t="s">
        <v>137</v>
      </c>
      <c r="G181" s="23" t="s">
        <v>203</v>
      </c>
      <c r="H181" s="38" t="s">
        <v>324</v>
      </c>
      <c r="I181" s="24">
        <v>0.12</v>
      </c>
      <c r="J181" s="24">
        <v>0.13500000000000001</v>
      </c>
      <c r="K181" s="24">
        <f t="shared" si="33"/>
        <v>0.11899999999999999</v>
      </c>
      <c r="L181" s="24">
        <v>0.14299999999999999</v>
      </c>
      <c r="M181" s="24" t="s">
        <v>427</v>
      </c>
      <c r="N181" s="29" t="s">
        <v>218</v>
      </c>
      <c r="O181" s="38" t="s">
        <v>426</v>
      </c>
      <c r="P181" s="23">
        <v>1</v>
      </c>
      <c r="Q181" s="26"/>
      <c r="R181" s="13">
        <f t="shared" si="23"/>
        <v>0.1275</v>
      </c>
      <c r="S181" s="13">
        <f t="shared" si="24"/>
        <v>-1.5499999999999986E-2</v>
      </c>
      <c r="T181" s="13" t="str">
        <f t="shared" si="25"/>
        <v/>
      </c>
      <c r="U181" s="13" t="str">
        <f t="shared" si="26"/>
        <v/>
      </c>
      <c r="V181" s="14">
        <f t="shared" si="27"/>
        <v>0</v>
      </c>
      <c r="W181" s="26"/>
      <c r="X181" t="str">
        <f t="shared" si="28"/>
        <v>oberhalb</v>
      </c>
      <c r="Y181" s="13">
        <f t="shared" si="29"/>
        <v>1.5499999999999986E-2</v>
      </c>
      <c r="Z181" t="str">
        <f>IFERROR(VLOOKUP(A181,Unternehmen!$A:$D,4,FALSE()),"")</f>
        <v>Konsumgueter</v>
      </c>
    </row>
    <row r="182" spans="1:26" ht="15" customHeight="1" x14ac:dyDescent="0.35">
      <c r="A182" s="38" t="s">
        <v>85</v>
      </c>
      <c r="B182" s="23">
        <v>2020</v>
      </c>
      <c r="C182" s="23" t="s">
        <v>15</v>
      </c>
      <c r="D182" s="38" t="s">
        <v>428</v>
      </c>
      <c r="E182" s="23">
        <v>82</v>
      </c>
      <c r="F182" s="23" t="s">
        <v>133</v>
      </c>
      <c r="G182" s="23" t="s">
        <v>220</v>
      </c>
      <c r="H182" s="38" t="s">
        <v>221</v>
      </c>
      <c r="I182" s="30"/>
      <c r="J182" s="30"/>
      <c r="K182" s="25">
        <v>8029</v>
      </c>
      <c r="L182" s="25">
        <v>8567</v>
      </c>
      <c r="M182" s="25">
        <f>L182-K182</f>
        <v>538</v>
      </c>
      <c r="N182" s="28" t="s">
        <v>208</v>
      </c>
      <c r="O182" s="38" t="s">
        <v>429</v>
      </c>
      <c r="P182" s="23">
        <v>2</v>
      </c>
      <c r="Q182" s="36" t="s">
        <v>430</v>
      </c>
      <c r="R182" s="31" t="str">
        <f t="shared" si="23"/>
        <v/>
      </c>
      <c r="S182" s="31" t="str">
        <f t="shared" si="24"/>
        <v/>
      </c>
      <c r="T182" s="13" t="str">
        <f t="shared" si="25"/>
        <v/>
      </c>
      <c r="U182" s="13" t="str">
        <f t="shared" si="26"/>
        <v/>
      </c>
      <c r="V182" s="14" t="str">
        <f t="shared" si="27"/>
        <v/>
      </c>
      <c r="W182" s="26" t="s">
        <v>431</v>
      </c>
      <c r="X182" t="str">
        <f t="shared" si="28"/>
        <v>nicht auswertbar</v>
      </c>
      <c r="Y182" s="31" t="str">
        <f t="shared" si="29"/>
        <v/>
      </c>
      <c r="Z182" t="str">
        <f>IFERROR(VLOOKUP(A182,Unternehmen!$A:$D,4,FALSE()),"")</f>
        <v>Technologie</v>
      </c>
    </row>
    <row r="183" spans="1:26" ht="15" customHeight="1" x14ac:dyDescent="0.35">
      <c r="A183" s="38" t="s">
        <v>85</v>
      </c>
      <c r="B183" s="23">
        <v>2020</v>
      </c>
      <c r="C183" s="23" t="s">
        <v>155</v>
      </c>
      <c r="D183" s="38" t="s">
        <v>428</v>
      </c>
      <c r="E183" s="23">
        <v>82</v>
      </c>
      <c r="F183" s="23" t="s">
        <v>133</v>
      </c>
      <c r="G183" s="23" t="s">
        <v>203</v>
      </c>
      <c r="H183" s="23" t="s">
        <v>204</v>
      </c>
      <c r="I183" s="30"/>
      <c r="J183" s="30"/>
      <c r="K183" s="24">
        <v>0.16400000000000001</v>
      </c>
      <c r="L183" s="24">
        <v>0.13700000000000001</v>
      </c>
      <c r="M183" s="24" t="s">
        <v>432</v>
      </c>
      <c r="N183" s="25" t="s">
        <v>433</v>
      </c>
      <c r="O183" s="38" t="s">
        <v>429</v>
      </c>
      <c r="P183" s="23">
        <v>2</v>
      </c>
      <c r="Q183" s="26"/>
      <c r="R183" s="13" t="str">
        <f t="shared" si="23"/>
        <v/>
      </c>
      <c r="S183" s="13" t="str">
        <f t="shared" si="24"/>
        <v/>
      </c>
      <c r="T183" s="13" t="str">
        <f t="shared" si="25"/>
        <v/>
      </c>
      <c r="U183" s="13" t="str">
        <f t="shared" si="26"/>
        <v/>
      </c>
      <c r="V183" s="14" t="str">
        <f t="shared" si="27"/>
        <v/>
      </c>
      <c r="W183" s="26" t="s">
        <v>323</v>
      </c>
      <c r="X183" t="str">
        <f t="shared" si="28"/>
        <v>nicht auswertbar</v>
      </c>
      <c r="Y183" s="13" t="str">
        <f t="shared" si="29"/>
        <v/>
      </c>
      <c r="Z183" t="str">
        <f>IFERROR(VLOOKUP(A183,Unternehmen!$A:$D,4,FALSE()),"")</f>
        <v>Technologie</v>
      </c>
    </row>
    <row r="184" spans="1:26" ht="15" customHeight="1" x14ac:dyDescent="0.35">
      <c r="A184" s="38" t="s">
        <v>85</v>
      </c>
      <c r="B184" s="23">
        <v>2021</v>
      </c>
      <c r="C184" s="23" t="s">
        <v>15</v>
      </c>
      <c r="D184" s="38" t="s">
        <v>429</v>
      </c>
      <c r="E184" s="23">
        <v>109</v>
      </c>
      <c r="F184" s="23" t="s">
        <v>138</v>
      </c>
      <c r="G184" s="23" t="s">
        <v>220</v>
      </c>
      <c r="H184" s="38" t="s">
        <v>221</v>
      </c>
      <c r="I184" s="25">
        <v>9975</v>
      </c>
      <c r="J184" s="25">
        <v>11025</v>
      </c>
      <c r="K184" s="25">
        <f t="shared" ref="K184:K191" si="34">L182</f>
        <v>8567</v>
      </c>
      <c r="L184" s="25">
        <v>11060</v>
      </c>
      <c r="M184" s="25">
        <f>L184-K184</f>
        <v>2493</v>
      </c>
      <c r="N184" s="29" t="s">
        <v>218</v>
      </c>
      <c r="O184" s="38" t="s">
        <v>434</v>
      </c>
      <c r="P184" s="23">
        <v>2</v>
      </c>
      <c r="Q184" s="26"/>
      <c r="R184" s="31">
        <f t="shared" si="23"/>
        <v>10500</v>
      </c>
      <c r="S184" s="31">
        <f t="shared" si="24"/>
        <v>-560</v>
      </c>
      <c r="T184" s="13">
        <f t="shared" si="25"/>
        <v>-5.0632911392405063E-2</v>
      </c>
      <c r="U184" s="13">
        <f t="shared" si="26"/>
        <v>5.0632911392405063E-2</v>
      </c>
      <c r="V184" s="14">
        <f t="shared" si="27"/>
        <v>0</v>
      </c>
      <c r="W184" s="26"/>
      <c r="X184" t="str">
        <f t="shared" si="28"/>
        <v>oberhalb</v>
      </c>
      <c r="Y184" s="31" t="str">
        <f t="shared" si="29"/>
        <v/>
      </c>
      <c r="Z184" t="str">
        <f>IFERROR(VLOOKUP(A184,Unternehmen!$A:$D,4,FALSE()),"")</f>
        <v>Technologie</v>
      </c>
    </row>
    <row r="185" spans="1:26" ht="15" customHeight="1" x14ac:dyDescent="0.35">
      <c r="A185" s="38" t="s">
        <v>85</v>
      </c>
      <c r="B185" s="23">
        <v>2021</v>
      </c>
      <c r="C185" s="23" t="s">
        <v>155</v>
      </c>
      <c r="D185" s="38" t="s">
        <v>429</v>
      </c>
      <c r="E185" s="23">
        <v>109</v>
      </c>
      <c r="F185" s="23" t="s">
        <v>139</v>
      </c>
      <c r="G185" s="23" t="s">
        <v>203</v>
      </c>
      <c r="H185" s="23" t="s">
        <v>204</v>
      </c>
      <c r="I185" s="24">
        <v>0.16500000000000001</v>
      </c>
      <c r="J185" s="24">
        <v>0.16500000000000001</v>
      </c>
      <c r="K185" s="24">
        <f t="shared" si="34"/>
        <v>0.13700000000000001</v>
      </c>
      <c r="L185" s="24">
        <v>0.187</v>
      </c>
      <c r="M185" s="24" t="s">
        <v>435</v>
      </c>
      <c r="N185" s="29" t="s">
        <v>218</v>
      </c>
      <c r="O185" s="38" t="s">
        <v>434</v>
      </c>
      <c r="P185" s="23">
        <v>2</v>
      </c>
      <c r="Q185" s="26"/>
      <c r="R185" s="13">
        <f t="shared" si="23"/>
        <v>0.16500000000000001</v>
      </c>
      <c r="S185" s="13">
        <f t="shared" si="24"/>
        <v>-2.1999999999999992E-2</v>
      </c>
      <c r="T185" s="13" t="str">
        <f t="shared" si="25"/>
        <v/>
      </c>
      <c r="U185" s="13" t="str">
        <f t="shared" si="26"/>
        <v/>
      </c>
      <c r="V185" s="14" t="str">
        <f t="shared" si="27"/>
        <v/>
      </c>
      <c r="W185" s="26"/>
      <c r="X185" t="str">
        <f t="shared" si="28"/>
        <v>Punktprognose</v>
      </c>
      <c r="Y185" s="13">
        <f t="shared" si="29"/>
        <v>2.1999999999999992E-2</v>
      </c>
      <c r="Z185" t="str">
        <f>IFERROR(VLOOKUP(A185,Unternehmen!$A:$D,4,FALSE()),"")</f>
        <v>Technologie</v>
      </c>
    </row>
    <row r="186" spans="1:26" ht="15" customHeight="1" x14ac:dyDescent="0.35">
      <c r="A186" s="38" t="s">
        <v>85</v>
      </c>
      <c r="B186" s="23">
        <v>2022</v>
      </c>
      <c r="C186" s="23" t="s">
        <v>15</v>
      </c>
      <c r="D186" s="38" t="s">
        <v>434</v>
      </c>
      <c r="E186" s="23">
        <v>111</v>
      </c>
      <c r="F186" s="23" t="s">
        <v>138</v>
      </c>
      <c r="G186" s="23" t="s">
        <v>220</v>
      </c>
      <c r="H186" s="38" t="s">
        <v>221</v>
      </c>
      <c r="I186" s="25">
        <v>12200</v>
      </c>
      <c r="J186" s="25">
        <v>13200</v>
      </c>
      <c r="K186" s="25">
        <f t="shared" si="34"/>
        <v>11060</v>
      </c>
      <c r="L186" s="25">
        <v>14218</v>
      </c>
      <c r="M186" s="25">
        <f>L186-K186</f>
        <v>3158</v>
      </c>
      <c r="N186" s="29" t="s">
        <v>218</v>
      </c>
      <c r="O186" s="38" t="s">
        <v>436</v>
      </c>
      <c r="P186" s="23">
        <v>2</v>
      </c>
      <c r="Q186" s="26"/>
      <c r="R186" s="31">
        <f t="shared" si="23"/>
        <v>12700</v>
      </c>
      <c r="S186" s="31">
        <f t="shared" si="24"/>
        <v>-1518</v>
      </c>
      <c r="T186" s="13">
        <f t="shared" si="25"/>
        <v>-0.10676607117738078</v>
      </c>
      <c r="U186" s="13">
        <f t="shared" si="26"/>
        <v>0.10676607117738078</v>
      </c>
      <c r="V186" s="14">
        <f t="shared" si="27"/>
        <v>0</v>
      </c>
      <c r="W186" s="26"/>
      <c r="X186" t="str">
        <f t="shared" si="28"/>
        <v>oberhalb</v>
      </c>
      <c r="Y186" s="31" t="str">
        <f t="shared" si="29"/>
        <v/>
      </c>
      <c r="Z186" t="str">
        <f>IFERROR(VLOOKUP(A186,Unternehmen!$A:$D,4,FALSE()),"")</f>
        <v>Technologie</v>
      </c>
    </row>
    <row r="187" spans="1:26" ht="15" customHeight="1" x14ac:dyDescent="0.35">
      <c r="A187" s="38" t="s">
        <v>85</v>
      </c>
      <c r="B187" s="23">
        <v>2022</v>
      </c>
      <c r="C187" s="23" t="s">
        <v>155</v>
      </c>
      <c r="D187" s="38" t="s">
        <v>434</v>
      </c>
      <c r="E187" s="23">
        <v>111</v>
      </c>
      <c r="F187" s="23" t="s">
        <v>139</v>
      </c>
      <c r="G187" s="23" t="s">
        <v>203</v>
      </c>
      <c r="H187" s="23" t="s">
        <v>204</v>
      </c>
      <c r="I187" s="24">
        <v>0.21</v>
      </c>
      <c r="J187" s="24">
        <v>0.21</v>
      </c>
      <c r="K187" s="24">
        <f t="shared" si="34"/>
        <v>0.187</v>
      </c>
      <c r="L187" s="24">
        <v>0.23799999999999999</v>
      </c>
      <c r="M187" s="24" t="s">
        <v>437</v>
      </c>
      <c r="N187" s="29" t="s">
        <v>218</v>
      </c>
      <c r="O187" s="38" t="s">
        <v>436</v>
      </c>
      <c r="P187" s="23">
        <v>2</v>
      </c>
      <c r="Q187" s="26"/>
      <c r="R187" s="13">
        <f t="shared" si="23"/>
        <v>0.21</v>
      </c>
      <c r="S187" s="13">
        <f t="shared" si="24"/>
        <v>-2.7999999999999997E-2</v>
      </c>
      <c r="T187" s="13" t="str">
        <f t="shared" si="25"/>
        <v/>
      </c>
      <c r="U187" s="13" t="str">
        <f t="shared" si="26"/>
        <v/>
      </c>
      <c r="V187" s="14" t="str">
        <f t="shared" si="27"/>
        <v/>
      </c>
      <c r="W187" s="26"/>
      <c r="X187" t="str">
        <f t="shared" si="28"/>
        <v>Punktprognose</v>
      </c>
      <c r="Y187" s="13">
        <f t="shared" si="29"/>
        <v>2.7999999999999997E-2</v>
      </c>
      <c r="Z187" t="str">
        <f>IFERROR(VLOOKUP(A187,Unternehmen!$A:$D,4,FALSE()),"")</f>
        <v>Technologie</v>
      </c>
    </row>
    <row r="188" spans="1:26" ht="15" customHeight="1" x14ac:dyDescent="0.35">
      <c r="A188" s="38" t="s">
        <v>85</v>
      </c>
      <c r="B188" s="23">
        <v>2023</v>
      </c>
      <c r="C188" s="23" t="s">
        <v>15</v>
      </c>
      <c r="D188" s="38" t="s">
        <v>436</v>
      </c>
      <c r="E188" s="23">
        <v>63</v>
      </c>
      <c r="F188" s="23" t="s">
        <v>138</v>
      </c>
      <c r="G188" s="23" t="s">
        <v>220</v>
      </c>
      <c r="H188" s="38" t="s">
        <v>221</v>
      </c>
      <c r="I188" s="25">
        <v>15000</v>
      </c>
      <c r="J188" s="25">
        <v>16000</v>
      </c>
      <c r="K188" s="25">
        <f t="shared" si="34"/>
        <v>14218</v>
      </c>
      <c r="L188" s="25">
        <v>16309</v>
      </c>
      <c r="M188" s="25">
        <f>L188-K188</f>
        <v>2091</v>
      </c>
      <c r="N188" s="29" t="s">
        <v>218</v>
      </c>
      <c r="O188" s="38" t="s">
        <v>438</v>
      </c>
      <c r="P188" s="23">
        <v>2</v>
      </c>
      <c r="Q188" s="26"/>
      <c r="R188" s="31">
        <f t="shared" si="23"/>
        <v>15500</v>
      </c>
      <c r="S188" s="31">
        <f t="shared" si="24"/>
        <v>-809</v>
      </c>
      <c r="T188" s="13">
        <f t="shared" si="25"/>
        <v>-4.9604512845668039E-2</v>
      </c>
      <c r="U188" s="13">
        <f t="shared" si="26"/>
        <v>4.9604512845668039E-2</v>
      </c>
      <c r="V188" s="14">
        <f t="shared" si="27"/>
        <v>0</v>
      </c>
      <c r="W188" s="26"/>
      <c r="X188" t="str">
        <f t="shared" si="28"/>
        <v>oberhalb</v>
      </c>
      <c r="Y188" s="31" t="str">
        <f t="shared" si="29"/>
        <v/>
      </c>
      <c r="Z188" t="str">
        <f>IFERROR(VLOOKUP(A188,Unternehmen!$A:$D,4,FALSE()),"")</f>
        <v>Technologie</v>
      </c>
    </row>
    <row r="189" spans="1:26" ht="15" customHeight="1" x14ac:dyDescent="0.35">
      <c r="A189" s="38" t="s">
        <v>85</v>
      </c>
      <c r="B189" s="23">
        <v>2023</v>
      </c>
      <c r="C189" s="23" t="s">
        <v>155</v>
      </c>
      <c r="D189" s="38" t="s">
        <v>436</v>
      </c>
      <c r="E189" s="23">
        <v>63</v>
      </c>
      <c r="F189" s="23" t="s">
        <v>139</v>
      </c>
      <c r="G189" s="23" t="s">
        <v>203</v>
      </c>
      <c r="H189" s="23" t="s">
        <v>204</v>
      </c>
      <c r="I189" s="24">
        <v>0.24</v>
      </c>
      <c r="J189" s="24">
        <v>0.24</v>
      </c>
      <c r="K189" s="24">
        <f t="shared" si="34"/>
        <v>0.23799999999999999</v>
      </c>
      <c r="L189" s="24">
        <v>0.27</v>
      </c>
      <c r="M189" s="24" t="s">
        <v>439</v>
      </c>
      <c r="N189" s="29" t="s">
        <v>218</v>
      </c>
      <c r="O189" s="38" t="s">
        <v>438</v>
      </c>
      <c r="P189" s="23">
        <v>2</v>
      </c>
      <c r="Q189" s="26"/>
      <c r="R189" s="13">
        <f t="shared" si="23"/>
        <v>0.24</v>
      </c>
      <c r="S189" s="13">
        <f t="shared" si="24"/>
        <v>-3.0000000000000027E-2</v>
      </c>
      <c r="T189" s="13" t="str">
        <f t="shared" si="25"/>
        <v/>
      </c>
      <c r="U189" s="13" t="str">
        <f t="shared" si="26"/>
        <v/>
      </c>
      <c r="V189" s="14" t="str">
        <f t="shared" si="27"/>
        <v/>
      </c>
      <c r="W189" s="26"/>
      <c r="X189" t="str">
        <f t="shared" si="28"/>
        <v>Punktprognose</v>
      </c>
      <c r="Y189" s="13">
        <f t="shared" si="29"/>
        <v>3.0000000000000027E-2</v>
      </c>
      <c r="Z189" t="str">
        <f>IFERROR(VLOOKUP(A189,Unternehmen!$A:$D,4,FALSE()),"")</f>
        <v>Technologie</v>
      </c>
    </row>
    <row r="190" spans="1:26" ht="15" customHeight="1" x14ac:dyDescent="0.35">
      <c r="A190" s="38" t="s">
        <v>85</v>
      </c>
      <c r="B190" s="23">
        <v>2024</v>
      </c>
      <c r="C190" s="23" t="s">
        <v>15</v>
      </c>
      <c r="D190" s="38" t="s">
        <v>438</v>
      </c>
      <c r="E190" s="23">
        <v>63</v>
      </c>
      <c r="F190" s="23" t="s">
        <v>138</v>
      </c>
      <c r="G190" s="23" t="s">
        <v>220</v>
      </c>
      <c r="H190" s="38" t="s">
        <v>221</v>
      </c>
      <c r="I190" s="25">
        <v>16500</v>
      </c>
      <c r="J190" s="25">
        <v>17500</v>
      </c>
      <c r="K190" s="25">
        <f t="shared" si="34"/>
        <v>16309</v>
      </c>
      <c r="L190" s="25">
        <v>14955</v>
      </c>
      <c r="M190" s="25">
        <f>L190-K190</f>
        <v>-1354</v>
      </c>
      <c r="N190" s="25" t="s">
        <v>440</v>
      </c>
      <c r="O190" s="38" t="s">
        <v>441</v>
      </c>
      <c r="P190" s="23">
        <v>2</v>
      </c>
      <c r="Q190" s="26"/>
      <c r="R190" s="31">
        <f t="shared" si="23"/>
        <v>17000</v>
      </c>
      <c r="S190" s="31">
        <f t="shared" si="24"/>
        <v>2045</v>
      </c>
      <c r="T190" s="13">
        <f t="shared" si="25"/>
        <v>0.13674356402540958</v>
      </c>
      <c r="U190" s="13">
        <f t="shared" si="26"/>
        <v>0.13674356402540958</v>
      </c>
      <c r="V190" s="14">
        <f t="shared" si="27"/>
        <v>0</v>
      </c>
      <c r="W190" s="26"/>
      <c r="X190" t="str">
        <f t="shared" si="28"/>
        <v>unterhalb</v>
      </c>
      <c r="Y190" s="31" t="str">
        <f t="shared" si="29"/>
        <v/>
      </c>
      <c r="Z190" t="str">
        <f>IFERROR(VLOOKUP(A190,Unternehmen!$A:$D,4,FALSE()),"")</f>
        <v>Technologie</v>
      </c>
    </row>
    <row r="191" spans="1:26" ht="15" customHeight="1" x14ac:dyDescent="0.35">
      <c r="A191" s="38" t="s">
        <v>85</v>
      </c>
      <c r="B191" s="23">
        <v>2024</v>
      </c>
      <c r="C191" s="23" t="s">
        <v>155</v>
      </c>
      <c r="D191" s="38" t="s">
        <v>438</v>
      </c>
      <c r="E191" s="23">
        <v>64</v>
      </c>
      <c r="F191" s="23" t="s">
        <v>139</v>
      </c>
      <c r="G191" s="23" t="s">
        <v>203</v>
      </c>
      <c r="H191" s="23" t="s">
        <v>204</v>
      </c>
      <c r="I191" s="24">
        <v>0.24</v>
      </c>
      <c r="J191" s="24">
        <v>0.24</v>
      </c>
      <c r="K191" s="24">
        <f t="shared" si="34"/>
        <v>0.27</v>
      </c>
      <c r="L191" s="24">
        <v>0.20799999999999999</v>
      </c>
      <c r="M191" s="24" t="s">
        <v>442</v>
      </c>
      <c r="N191" s="27" t="s">
        <v>443</v>
      </c>
      <c r="O191" s="38" t="s">
        <v>441</v>
      </c>
      <c r="P191" s="23">
        <v>2</v>
      </c>
      <c r="Q191" s="26"/>
      <c r="R191" s="13">
        <f t="shared" si="23"/>
        <v>0.24</v>
      </c>
      <c r="S191" s="13">
        <f t="shared" si="24"/>
        <v>3.2000000000000001E-2</v>
      </c>
      <c r="T191" s="13" t="str">
        <f t="shared" si="25"/>
        <v/>
      </c>
      <c r="U191" s="13" t="str">
        <f t="shared" si="26"/>
        <v/>
      </c>
      <c r="V191" s="14" t="str">
        <f t="shared" si="27"/>
        <v/>
      </c>
      <c r="W191" s="26"/>
      <c r="X191" t="str">
        <f t="shared" si="28"/>
        <v>Punktprognose</v>
      </c>
      <c r="Y191" s="13">
        <f t="shared" si="29"/>
        <v>3.2000000000000001E-2</v>
      </c>
      <c r="Z191" t="str">
        <f>IFERROR(VLOOKUP(A191,Unternehmen!$A:$D,4,FALSE()),"")</f>
        <v>Technologie</v>
      </c>
    </row>
    <row r="192" spans="1:26" ht="15" customHeight="1" x14ac:dyDescent="0.35">
      <c r="A192" s="38" t="s">
        <v>91</v>
      </c>
      <c r="B192" s="23">
        <v>2020</v>
      </c>
      <c r="C192" s="23" t="s">
        <v>15</v>
      </c>
      <c r="D192" s="38" t="s">
        <v>444</v>
      </c>
      <c r="E192" s="23">
        <v>108</v>
      </c>
      <c r="F192" s="23" t="s">
        <v>133</v>
      </c>
      <c r="G192" s="23" t="s">
        <v>220</v>
      </c>
      <c r="H192" s="38" t="s">
        <v>221</v>
      </c>
      <c r="I192" s="30"/>
      <c r="J192" s="30"/>
      <c r="K192" s="25">
        <v>36424</v>
      </c>
      <c r="L192" s="25">
        <v>13589</v>
      </c>
      <c r="M192" s="25">
        <f t="shared" ref="M192:M214" si="35">L192-K192</f>
        <v>-22835</v>
      </c>
      <c r="N192" s="28" t="s">
        <v>208</v>
      </c>
      <c r="O192" s="38" t="s">
        <v>445</v>
      </c>
      <c r="P192" s="23">
        <v>2</v>
      </c>
      <c r="Q192" s="26"/>
      <c r="R192" s="31" t="str">
        <f t="shared" si="23"/>
        <v/>
      </c>
      <c r="S192" s="31" t="str">
        <f t="shared" si="24"/>
        <v/>
      </c>
      <c r="T192" s="13" t="str">
        <f t="shared" si="25"/>
        <v/>
      </c>
      <c r="U192" s="13" t="str">
        <f t="shared" si="26"/>
        <v/>
      </c>
      <c r="V192" s="14" t="str">
        <f t="shared" si="27"/>
        <v/>
      </c>
      <c r="W192" s="26" t="s">
        <v>318</v>
      </c>
      <c r="X192" t="str">
        <f t="shared" si="28"/>
        <v>nicht auswertbar</v>
      </c>
      <c r="Y192" s="31" t="str">
        <f t="shared" si="29"/>
        <v/>
      </c>
      <c r="Z192" t="str">
        <f>IFERROR(VLOOKUP(A192,Unternehmen!$A:$D,4,FALSE()),"")</f>
        <v>Transport &amp; Logistik</v>
      </c>
    </row>
    <row r="193" spans="1:26" ht="15" customHeight="1" x14ac:dyDescent="0.35">
      <c r="A193" s="38" t="s">
        <v>91</v>
      </c>
      <c r="B193" s="23">
        <v>2020</v>
      </c>
      <c r="C193" s="23" t="s">
        <v>155</v>
      </c>
      <c r="D193" s="38" t="s">
        <v>444</v>
      </c>
      <c r="E193" s="23">
        <v>108</v>
      </c>
      <c r="F193" s="23" t="s">
        <v>133</v>
      </c>
      <c r="G193" s="23" t="s">
        <v>220</v>
      </c>
      <c r="H193" s="38" t="s">
        <v>221</v>
      </c>
      <c r="I193" s="30"/>
      <c r="J193" s="30"/>
      <c r="K193" s="25">
        <v>2026</v>
      </c>
      <c r="L193" s="25">
        <v>-5451</v>
      </c>
      <c r="M193" s="25">
        <f t="shared" si="35"/>
        <v>-7477</v>
      </c>
      <c r="N193" s="28" t="s">
        <v>208</v>
      </c>
      <c r="O193" s="38" t="s">
        <v>445</v>
      </c>
      <c r="P193" s="23">
        <v>2</v>
      </c>
      <c r="Q193" s="26" t="s">
        <v>446</v>
      </c>
      <c r="R193" s="31" t="str">
        <f t="shared" si="23"/>
        <v/>
      </c>
      <c r="S193" s="31" t="str">
        <f t="shared" si="24"/>
        <v/>
      </c>
      <c r="T193" s="13" t="str">
        <f t="shared" si="25"/>
        <v/>
      </c>
      <c r="U193" s="13" t="str">
        <f t="shared" si="26"/>
        <v/>
      </c>
      <c r="V193" s="14" t="str">
        <f t="shared" si="27"/>
        <v/>
      </c>
      <c r="W193" s="26" t="s">
        <v>318</v>
      </c>
      <c r="X193" t="str">
        <f t="shared" si="28"/>
        <v>nicht auswertbar</v>
      </c>
      <c r="Y193" s="31" t="str">
        <f t="shared" si="29"/>
        <v/>
      </c>
      <c r="Z193" t="str">
        <f>IFERROR(VLOOKUP(A193,Unternehmen!$A:$D,4,FALSE()),"")</f>
        <v>Transport &amp; Logistik</v>
      </c>
    </row>
    <row r="194" spans="1:26" ht="15" customHeight="1" x14ac:dyDescent="0.35">
      <c r="A194" s="38" t="s">
        <v>91</v>
      </c>
      <c r="B194" s="23">
        <v>2021</v>
      </c>
      <c r="C194" s="23" t="s">
        <v>15</v>
      </c>
      <c r="D194" s="38" t="s">
        <v>445</v>
      </c>
      <c r="E194" s="23">
        <v>120</v>
      </c>
      <c r="F194" s="23" t="s">
        <v>133</v>
      </c>
      <c r="G194" s="23" t="s">
        <v>220</v>
      </c>
      <c r="H194" s="38" t="s">
        <v>221</v>
      </c>
      <c r="I194" s="30"/>
      <c r="J194" s="30"/>
      <c r="K194" s="25">
        <f>L192</f>
        <v>13589</v>
      </c>
      <c r="L194" s="25">
        <v>16811</v>
      </c>
      <c r="M194" s="25">
        <f t="shared" si="35"/>
        <v>3222</v>
      </c>
      <c r="N194" s="28" t="s">
        <v>208</v>
      </c>
      <c r="O194" s="38" t="s">
        <v>447</v>
      </c>
      <c r="P194" s="23">
        <v>2</v>
      </c>
      <c r="Q194" s="26"/>
      <c r="R194" s="31" t="str">
        <f t="shared" ref="R194:R257" si="36">IF(NOT(ISNUMBER(I194)),"",IF(F194="Mindestprognose",I194,IF(ISNUMBER(J194),(I194+J194)/2,I194)))</f>
        <v/>
      </c>
      <c r="S194" s="31" t="str">
        <f t="shared" ref="S194:S257" si="37">IF(OR(R194="",NOT(ISNUMBER(L194))),"",R194-L194)</f>
        <v/>
      </c>
      <c r="T194" s="13" t="str">
        <f t="shared" ref="T194:T257" si="38">IF(OR(S194="",G194&lt;&gt;"absolut",NOT(ISNUMBER(L194)),L194=0),"",S194/ABS(L194))</f>
        <v/>
      </c>
      <c r="U194" s="13" t="str">
        <f t="shared" ref="U194:U257" si="39">IF(T194="","",ABS(T194))</f>
        <v/>
      </c>
      <c r="V194" s="14" t="str">
        <f t="shared" ref="V194:V257" si="40">IF(OR(F194="Punkt",NOT(ISNUMBER(L194))),"",IF(F194="Mindestprognose",IF(L194&gt;=I194,1,0),IF(AND(ISNUMBER(I194),ISNUMBER(J194),I194&lt;&gt;J194),IF(AND(L194&gt;=I194,L194&lt;=J194),1,0),"")))</f>
        <v/>
      </c>
      <c r="W194" s="26" t="s">
        <v>448</v>
      </c>
      <c r="X194" t="str">
        <f t="shared" ref="X194:X257" si="41">IF(OR(F194="qualitativ",F194="fehlend",NOT(ISNUMBER(L194))),"nicht auswertbar",IF(F194="Punkt","Punktprognose",IF(AND(ISNUMBER(I194),ISNUMBER(J194)),IF(L194&lt;I194,"unterhalb",IF(L194&gt;J194,"oberhalb","innerhalb")),"nicht auswertbar")))</f>
        <v>nicht auswertbar</v>
      </c>
      <c r="Y194" s="31" t="str">
        <f t="shared" ref="Y194:Y257" si="42">IF(AND(ISNUMBER(S194),OR(G194="Marge %",G194="Wachstumsrate %")),ABS(S194),"")</f>
        <v/>
      </c>
      <c r="Z194" t="str">
        <f>IFERROR(VLOOKUP(A194,Unternehmen!$A:$D,4,FALSE()),"")</f>
        <v>Transport &amp; Logistik</v>
      </c>
    </row>
    <row r="195" spans="1:26" ht="15" customHeight="1" x14ac:dyDescent="0.35">
      <c r="A195" s="38" t="s">
        <v>91</v>
      </c>
      <c r="B195" s="23">
        <v>2021</v>
      </c>
      <c r="C195" s="23" t="s">
        <v>155</v>
      </c>
      <c r="D195" s="38" t="s">
        <v>445</v>
      </c>
      <c r="E195" s="23">
        <v>120</v>
      </c>
      <c r="F195" s="23" t="s">
        <v>133</v>
      </c>
      <c r="G195" s="23" t="s">
        <v>220</v>
      </c>
      <c r="H195" s="38" t="s">
        <v>221</v>
      </c>
      <c r="I195" s="30"/>
      <c r="J195" s="30"/>
      <c r="K195" s="25">
        <f>L193</f>
        <v>-5451</v>
      </c>
      <c r="L195" s="25">
        <v>-2349</v>
      </c>
      <c r="M195" s="25">
        <f t="shared" si="35"/>
        <v>3102</v>
      </c>
      <c r="N195" s="42" t="s">
        <v>449</v>
      </c>
      <c r="O195" s="38" t="s">
        <v>447</v>
      </c>
      <c r="P195" s="23">
        <v>2</v>
      </c>
      <c r="Q195" s="26"/>
      <c r="R195" s="31" t="str">
        <f t="shared" si="36"/>
        <v/>
      </c>
      <c r="S195" s="31" t="str">
        <f t="shared" si="37"/>
        <v/>
      </c>
      <c r="T195" s="13" t="str">
        <f t="shared" si="38"/>
        <v/>
      </c>
      <c r="U195" s="13" t="str">
        <f t="shared" si="39"/>
        <v/>
      </c>
      <c r="V195" s="14" t="str">
        <f t="shared" si="40"/>
        <v/>
      </c>
      <c r="W195" s="26" t="s">
        <v>450</v>
      </c>
      <c r="X195" t="str">
        <f t="shared" si="41"/>
        <v>nicht auswertbar</v>
      </c>
      <c r="Y195" s="31" t="str">
        <f t="shared" si="42"/>
        <v/>
      </c>
      <c r="Z195" t="str">
        <f>IFERROR(VLOOKUP(A195,Unternehmen!$A:$D,4,FALSE()),"")</f>
        <v>Transport &amp; Logistik</v>
      </c>
    </row>
    <row r="196" spans="1:26" ht="15" customHeight="1" x14ac:dyDescent="0.35">
      <c r="A196" s="38" t="s">
        <v>91</v>
      </c>
      <c r="B196" s="23">
        <v>2022</v>
      </c>
      <c r="C196" s="23" t="s">
        <v>15</v>
      </c>
      <c r="D196" s="38" t="s">
        <v>447</v>
      </c>
      <c r="E196" s="23">
        <v>140</v>
      </c>
      <c r="F196" s="23" t="s">
        <v>133</v>
      </c>
      <c r="G196" s="23" t="s">
        <v>220</v>
      </c>
      <c r="H196" s="38" t="s">
        <v>221</v>
      </c>
      <c r="I196" s="30"/>
      <c r="J196" s="30"/>
      <c r="K196" s="25">
        <f>L194</f>
        <v>16811</v>
      </c>
      <c r="L196" s="25">
        <v>32770</v>
      </c>
      <c r="M196" s="25">
        <f t="shared" si="35"/>
        <v>15959</v>
      </c>
      <c r="N196" s="28" t="s">
        <v>208</v>
      </c>
      <c r="O196" s="38" t="s">
        <v>451</v>
      </c>
      <c r="P196" s="23">
        <v>2</v>
      </c>
      <c r="Q196" s="26"/>
      <c r="R196" s="31" t="str">
        <f t="shared" si="36"/>
        <v/>
      </c>
      <c r="S196" s="31" t="str">
        <f t="shared" si="37"/>
        <v/>
      </c>
      <c r="T196" s="13" t="str">
        <f t="shared" si="38"/>
        <v/>
      </c>
      <c r="U196" s="13" t="str">
        <f t="shared" si="39"/>
        <v/>
      </c>
      <c r="V196" s="14" t="str">
        <f t="shared" si="40"/>
        <v/>
      </c>
      <c r="W196" s="26" t="s">
        <v>452</v>
      </c>
      <c r="X196" t="str">
        <f t="shared" si="41"/>
        <v>nicht auswertbar</v>
      </c>
      <c r="Y196" s="31" t="str">
        <f t="shared" si="42"/>
        <v/>
      </c>
      <c r="Z196" t="str">
        <f>IFERROR(VLOOKUP(A196,Unternehmen!$A:$D,4,FALSE()),"")</f>
        <v>Transport &amp; Logistik</v>
      </c>
    </row>
    <row r="197" spans="1:26" ht="15" customHeight="1" x14ac:dyDescent="0.35">
      <c r="A197" s="38" t="s">
        <v>91</v>
      </c>
      <c r="B197" s="23">
        <v>2022</v>
      </c>
      <c r="C197" s="23" t="s">
        <v>155</v>
      </c>
      <c r="D197" s="38" t="s">
        <v>447</v>
      </c>
      <c r="E197" s="23">
        <v>140</v>
      </c>
      <c r="F197" s="23" t="s">
        <v>133</v>
      </c>
      <c r="G197" s="23" t="s">
        <v>220</v>
      </c>
      <c r="H197" s="38" t="s">
        <v>221</v>
      </c>
      <c r="I197" s="30"/>
      <c r="J197" s="30"/>
      <c r="K197" s="25">
        <v>-1666</v>
      </c>
      <c r="L197" s="25">
        <v>1509</v>
      </c>
      <c r="M197" s="25">
        <f t="shared" si="35"/>
        <v>3175</v>
      </c>
      <c r="N197" s="28" t="s">
        <v>208</v>
      </c>
      <c r="O197" s="38" t="s">
        <v>451</v>
      </c>
      <c r="P197" s="23">
        <v>2</v>
      </c>
      <c r="Q197" s="26" t="s">
        <v>453</v>
      </c>
      <c r="R197" s="31" t="str">
        <f t="shared" si="36"/>
        <v/>
      </c>
      <c r="S197" s="31" t="str">
        <f t="shared" si="37"/>
        <v/>
      </c>
      <c r="T197" s="13" t="str">
        <f t="shared" si="38"/>
        <v/>
      </c>
      <c r="U197" s="13" t="str">
        <f t="shared" si="39"/>
        <v/>
      </c>
      <c r="V197" s="14" t="str">
        <f t="shared" si="40"/>
        <v/>
      </c>
      <c r="W197" s="26" t="s">
        <v>452</v>
      </c>
      <c r="X197" t="str">
        <f t="shared" si="41"/>
        <v>nicht auswertbar</v>
      </c>
      <c r="Y197" s="31" t="str">
        <f t="shared" si="42"/>
        <v/>
      </c>
      <c r="Z197" t="str">
        <f>IFERROR(VLOOKUP(A197,Unternehmen!$A:$D,4,FALSE()),"")</f>
        <v>Transport &amp; Logistik</v>
      </c>
    </row>
    <row r="198" spans="1:26" ht="15" customHeight="1" x14ac:dyDescent="0.35">
      <c r="A198" s="38" t="s">
        <v>91</v>
      </c>
      <c r="B198" s="23">
        <v>2023</v>
      </c>
      <c r="C198" s="23" t="s">
        <v>15</v>
      </c>
      <c r="D198" s="38" t="s">
        <v>451</v>
      </c>
      <c r="E198" s="23">
        <v>153</v>
      </c>
      <c r="F198" s="23" t="s">
        <v>133</v>
      </c>
      <c r="G198" s="23" t="s">
        <v>220</v>
      </c>
      <c r="H198" s="38" t="s">
        <v>221</v>
      </c>
      <c r="I198" s="30"/>
      <c r="J198" s="30"/>
      <c r="K198" s="25">
        <v>30895</v>
      </c>
      <c r="L198" s="25">
        <v>35442</v>
      </c>
      <c r="M198" s="25">
        <f t="shared" si="35"/>
        <v>4547</v>
      </c>
      <c r="N198" s="28" t="s">
        <v>454</v>
      </c>
      <c r="O198" s="38" t="s">
        <v>455</v>
      </c>
      <c r="P198" s="23">
        <v>3</v>
      </c>
      <c r="Q198" s="26" t="s">
        <v>456</v>
      </c>
      <c r="R198" s="31" t="str">
        <f t="shared" si="36"/>
        <v/>
      </c>
      <c r="S198" s="31" t="str">
        <f t="shared" si="37"/>
        <v/>
      </c>
      <c r="T198" s="13" t="str">
        <f t="shared" si="38"/>
        <v/>
      </c>
      <c r="U198" s="13" t="str">
        <f t="shared" si="39"/>
        <v/>
      </c>
      <c r="V198" s="14" t="str">
        <f t="shared" si="40"/>
        <v/>
      </c>
      <c r="W198" s="26" t="s">
        <v>457</v>
      </c>
      <c r="X198" t="str">
        <f t="shared" si="41"/>
        <v>nicht auswertbar</v>
      </c>
      <c r="Y198" s="31" t="str">
        <f t="shared" si="42"/>
        <v/>
      </c>
      <c r="Z198" t="str">
        <f>IFERROR(VLOOKUP(A198,Unternehmen!$A:$D,4,FALSE()),"")</f>
        <v>Transport &amp; Logistik</v>
      </c>
    </row>
    <row r="199" spans="1:26" ht="15" customHeight="1" x14ac:dyDescent="0.35">
      <c r="A199" s="38" t="s">
        <v>91</v>
      </c>
      <c r="B199" s="23">
        <v>2023</v>
      </c>
      <c r="C199" s="23" t="s">
        <v>155</v>
      </c>
      <c r="D199" s="38" t="s">
        <v>451</v>
      </c>
      <c r="E199" s="23">
        <v>153</v>
      </c>
      <c r="F199" s="23" t="s">
        <v>133</v>
      </c>
      <c r="G199" s="23" t="s">
        <v>220</v>
      </c>
      <c r="H199" s="38" t="s">
        <v>221</v>
      </c>
      <c r="I199" s="30"/>
      <c r="J199" s="30"/>
      <c r="K199" s="25">
        <v>1520</v>
      </c>
      <c r="L199" s="25">
        <v>2682</v>
      </c>
      <c r="M199" s="25">
        <f t="shared" si="35"/>
        <v>1162</v>
      </c>
      <c r="N199" s="28" t="s">
        <v>454</v>
      </c>
      <c r="O199" s="38" t="s">
        <v>455</v>
      </c>
      <c r="P199" s="23">
        <v>3</v>
      </c>
      <c r="Q199" s="26" t="s">
        <v>456</v>
      </c>
      <c r="R199" s="31" t="str">
        <f t="shared" si="36"/>
        <v/>
      </c>
      <c r="S199" s="31" t="str">
        <f t="shared" si="37"/>
        <v/>
      </c>
      <c r="T199" s="13" t="str">
        <f t="shared" si="38"/>
        <v/>
      </c>
      <c r="U199" s="13" t="str">
        <f t="shared" si="39"/>
        <v/>
      </c>
      <c r="V199" s="14" t="str">
        <f t="shared" si="40"/>
        <v/>
      </c>
      <c r="W199" s="26" t="s">
        <v>457</v>
      </c>
      <c r="X199" t="str">
        <f t="shared" si="41"/>
        <v>nicht auswertbar</v>
      </c>
      <c r="Y199" s="31" t="str">
        <f t="shared" si="42"/>
        <v/>
      </c>
      <c r="Z199" t="str">
        <f>IFERROR(VLOOKUP(A199,Unternehmen!$A:$D,4,FALSE()),"")</f>
        <v>Transport &amp; Logistik</v>
      </c>
    </row>
    <row r="200" spans="1:26" ht="15" customHeight="1" x14ac:dyDescent="0.35">
      <c r="A200" s="38" t="s">
        <v>91</v>
      </c>
      <c r="B200" s="23">
        <v>2024</v>
      </c>
      <c r="C200" s="23" t="s">
        <v>15</v>
      </c>
      <c r="D200" s="38" t="s">
        <v>455</v>
      </c>
      <c r="E200" s="23">
        <v>146</v>
      </c>
      <c r="F200" s="23" t="s">
        <v>133</v>
      </c>
      <c r="G200" s="23" t="s">
        <v>220</v>
      </c>
      <c r="H200" s="38" t="s">
        <v>221</v>
      </c>
      <c r="I200" s="30"/>
      <c r="J200" s="30"/>
      <c r="K200" s="25">
        <f>L198</f>
        <v>35442</v>
      </c>
      <c r="L200" s="25">
        <v>37581</v>
      </c>
      <c r="M200" s="25">
        <f t="shared" si="35"/>
        <v>2139</v>
      </c>
      <c r="N200" s="28" t="s">
        <v>454</v>
      </c>
      <c r="O200" s="38" t="s">
        <v>458</v>
      </c>
      <c r="P200" s="23">
        <v>3</v>
      </c>
      <c r="Q200" s="26"/>
      <c r="R200" s="31" t="str">
        <f t="shared" si="36"/>
        <v/>
      </c>
      <c r="S200" s="31" t="str">
        <f t="shared" si="37"/>
        <v/>
      </c>
      <c r="T200" s="13" t="str">
        <f t="shared" si="38"/>
        <v/>
      </c>
      <c r="U200" s="13" t="str">
        <f t="shared" si="39"/>
        <v/>
      </c>
      <c r="V200" s="14" t="str">
        <f t="shared" si="40"/>
        <v/>
      </c>
      <c r="W200" s="26" t="s">
        <v>457</v>
      </c>
      <c r="X200" t="str">
        <f t="shared" si="41"/>
        <v>nicht auswertbar</v>
      </c>
      <c r="Y200" s="31" t="str">
        <f t="shared" si="42"/>
        <v/>
      </c>
      <c r="Z200" t="str">
        <f>IFERROR(VLOOKUP(A200,Unternehmen!$A:$D,4,FALSE()),"")</f>
        <v>Transport &amp; Logistik</v>
      </c>
    </row>
    <row r="201" spans="1:26" ht="15" customHeight="1" x14ac:dyDescent="0.35">
      <c r="A201" s="38" t="s">
        <v>91</v>
      </c>
      <c r="B201" s="23">
        <v>2024</v>
      </c>
      <c r="C201" s="23" t="s">
        <v>155</v>
      </c>
      <c r="D201" s="38" t="s">
        <v>455</v>
      </c>
      <c r="E201" s="23">
        <v>146</v>
      </c>
      <c r="F201" s="23" t="s">
        <v>133</v>
      </c>
      <c r="G201" s="23" t="s">
        <v>220</v>
      </c>
      <c r="H201" s="38" t="s">
        <v>221</v>
      </c>
      <c r="I201" s="30"/>
      <c r="J201" s="30"/>
      <c r="K201" s="25">
        <f>L199</f>
        <v>2682</v>
      </c>
      <c r="L201" s="25">
        <v>1645</v>
      </c>
      <c r="M201" s="25">
        <f t="shared" si="35"/>
        <v>-1037</v>
      </c>
      <c r="N201" s="28" t="s">
        <v>454</v>
      </c>
      <c r="O201" s="38" t="s">
        <v>458</v>
      </c>
      <c r="P201" s="23">
        <v>3</v>
      </c>
      <c r="Q201" s="26"/>
      <c r="R201" s="31" t="str">
        <f t="shared" si="36"/>
        <v/>
      </c>
      <c r="S201" s="31" t="str">
        <f t="shared" si="37"/>
        <v/>
      </c>
      <c r="T201" s="13" t="str">
        <f t="shared" si="38"/>
        <v/>
      </c>
      <c r="U201" s="13" t="str">
        <f t="shared" si="39"/>
        <v/>
      </c>
      <c r="V201" s="14" t="str">
        <f t="shared" si="40"/>
        <v/>
      </c>
      <c r="W201" s="26" t="s">
        <v>323</v>
      </c>
      <c r="X201" t="str">
        <f t="shared" si="41"/>
        <v>nicht auswertbar</v>
      </c>
      <c r="Y201" s="31" t="str">
        <f t="shared" si="42"/>
        <v/>
      </c>
      <c r="Z201" t="str">
        <f>IFERROR(VLOOKUP(A201,Unternehmen!$A:$D,4,FALSE()),"")</f>
        <v>Transport &amp; Logistik</v>
      </c>
    </row>
    <row r="202" spans="1:26" ht="15" customHeight="1" x14ac:dyDescent="0.35">
      <c r="A202" s="38" t="s">
        <v>94</v>
      </c>
      <c r="B202" s="23">
        <v>2020</v>
      </c>
      <c r="C202" s="23" t="s">
        <v>15</v>
      </c>
      <c r="D202" s="38" t="s">
        <v>459</v>
      </c>
      <c r="E202" s="23">
        <v>125</v>
      </c>
      <c r="F202" s="23" t="s">
        <v>133</v>
      </c>
      <c r="G202" s="23" t="s">
        <v>220</v>
      </c>
      <c r="H202" s="38" t="s">
        <v>221</v>
      </c>
      <c r="I202" s="30"/>
      <c r="J202" s="30"/>
      <c r="K202" s="25">
        <v>16152</v>
      </c>
      <c r="L202" s="25">
        <v>17534</v>
      </c>
      <c r="M202" s="25">
        <f t="shared" si="35"/>
        <v>1382</v>
      </c>
      <c r="N202" s="28" t="s">
        <v>454</v>
      </c>
      <c r="O202" s="38" t="s">
        <v>460</v>
      </c>
      <c r="P202" s="23">
        <v>144</v>
      </c>
      <c r="Q202" s="26"/>
      <c r="R202" s="31" t="str">
        <f t="shared" si="36"/>
        <v/>
      </c>
      <c r="S202" s="31" t="str">
        <f t="shared" si="37"/>
        <v/>
      </c>
      <c r="T202" s="13" t="str">
        <f t="shared" si="38"/>
        <v/>
      </c>
      <c r="U202" s="13" t="str">
        <f t="shared" si="39"/>
        <v/>
      </c>
      <c r="V202" s="14" t="str">
        <f t="shared" si="40"/>
        <v/>
      </c>
      <c r="W202" s="26" t="s">
        <v>461</v>
      </c>
      <c r="X202" t="str">
        <f t="shared" si="41"/>
        <v>nicht auswertbar</v>
      </c>
      <c r="Y202" s="31" t="str">
        <f t="shared" si="42"/>
        <v/>
      </c>
      <c r="Z202" t="str">
        <f>IFERROR(VLOOKUP(A202,Unternehmen!$A:$D,4,FALSE()),"")</f>
        <v>Pharma &amp; Healthcare</v>
      </c>
    </row>
    <row r="203" spans="1:26" ht="15" customHeight="1" x14ac:dyDescent="0.35">
      <c r="A203" s="38" t="s">
        <v>94</v>
      </c>
      <c r="B203" s="23">
        <v>2020</v>
      </c>
      <c r="C203" s="23" t="s">
        <v>155</v>
      </c>
      <c r="D203" s="38" t="s">
        <v>459</v>
      </c>
      <c r="E203" s="23">
        <v>125</v>
      </c>
      <c r="F203" s="23" t="s">
        <v>133</v>
      </c>
      <c r="G203" s="23" t="s">
        <v>220</v>
      </c>
      <c r="H203" s="38" t="s">
        <v>221</v>
      </c>
      <c r="I203" s="30"/>
      <c r="J203" s="30"/>
      <c r="K203" s="25">
        <v>4385</v>
      </c>
      <c r="L203" s="25">
        <v>5201</v>
      </c>
      <c r="M203" s="25">
        <f t="shared" si="35"/>
        <v>816</v>
      </c>
      <c r="N203" s="28" t="s">
        <v>454</v>
      </c>
      <c r="O203" s="38" t="s">
        <v>460</v>
      </c>
      <c r="P203" s="23">
        <v>144</v>
      </c>
      <c r="Q203" s="26"/>
      <c r="R203" s="31" t="str">
        <f t="shared" si="36"/>
        <v/>
      </c>
      <c r="S203" s="31" t="str">
        <f t="shared" si="37"/>
        <v/>
      </c>
      <c r="T203" s="13" t="str">
        <f t="shared" si="38"/>
        <v/>
      </c>
      <c r="U203" s="13" t="str">
        <f t="shared" si="39"/>
        <v/>
      </c>
      <c r="V203" s="14" t="str">
        <f t="shared" si="40"/>
        <v/>
      </c>
      <c r="W203" s="26" t="s">
        <v>462</v>
      </c>
      <c r="X203" t="str">
        <f t="shared" si="41"/>
        <v>nicht auswertbar</v>
      </c>
      <c r="Y203" s="31" t="str">
        <f t="shared" si="42"/>
        <v/>
      </c>
      <c r="Z203" t="str">
        <f>IFERROR(VLOOKUP(A203,Unternehmen!$A:$D,4,FALSE()),"")</f>
        <v>Pharma &amp; Healthcare</v>
      </c>
    </row>
    <row r="204" spans="1:26" ht="15" customHeight="1" x14ac:dyDescent="0.35">
      <c r="A204" s="38" t="s">
        <v>94</v>
      </c>
      <c r="B204" s="23">
        <v>2021</v>
      </c>
      <c r="C204" s="23" t="s">
        <v>15</v>
      </c>
      <c r="D204" s="38" t="s">
        <v>460</v>
      </c>
      <c r="E204" s="23">
        <v>144</v>
      </c>
      <c r="F204" s="23" t="s">
        <v>133</v>
      </c>
      <c r="G204" s="23" t="s">
        <v>220</v>
      </c>
      <c r="H204" s="38" t="s">
        <v>221</v>
      </c>
      <c r="I204" s="30"/>
      <c r="J204" s="30"/>
      <c r="K204" s="25">
        <f t="shared" ref="K204:K211" si="43">L202</f>
        <v>17534</v>
      </c>
      <c r="L204" s="25">
        <v>19687</v>
      </c>
      <c r="M204" s="25">
        <f t="shared" si="35"/>
        <v>2153</v>
      </c>
      <c r="N204" s="28" t="s">
        <v>454</v>
      </c>
      <c r="O204" s="38" t="s">
        <v>463</v>
      </c>
      <c r="P204" s="23">
        <v>113</v>
      </c>
      <c r="Q204" s="26"/>
      <c r="R204" s="31" t="str">
        <f t="shared" si="36"/>
        <v/>
      </c>
      <c r="S204" s="31" t="str">
        <f t="shared" si="37"/>
        <v/>
      </c>
      <c r="T204" s="13" t="str">
        <f t="shared" si="38"/>
        <v/>
      </c>
      <c r="U204" s="13" t="str">
        <f t="shared" si="39"/>
        <v/>
      </c>
      <c r="V204" s="14" t="str">
        <f t="shared" si="40"/>
        <v/>
      </c>
      <c r="W204" s="26" t="s">
        <v>462</v>
      </c>
      <c r="X204" t="str">
        <f t="shared" si="41"/>
        <v>nicht auswertbar</v>
      </c>
      <c r="Y204" s="31" t="str">
        <f t="shared" si="42"/>
        <v/>
      </c>
      <c r="Z204" t="str">
        <f>IFERROR(VLOOKUP(A204,Unternehmen!$A:$D,4,FALSE()),"")</f>
        <v>Pharma &amp; Healthcare</v>
      </c>
    </row>
    <row r="205" spans="1:26" ht="15" customHeight="1" x14ac:dyDescent="0.35">
      <c r="A205" s="38" t="s">
        <v>94</v>
      </c>
      <c r="B205" s="23">
        <v>2021</v>
      </c>
      <c r="C205" s="23" t="s">
        <v>155</v>
      </c>
      <c r="D205" s="38" t="s">
        <v>460</v>
      </c>
      <c r="E205" s="23">
        <v>144</v>
      </c>
      <c r="F205" s="23" t="s">
        <v>133</v>
      </c>
      <c r="G205" s="23" t="s">
        <v>220</v>
      </c>
      <c r="H205" s="38" t="s">
        <v>221</v>
      </c>
      <c r="I205" s="30"/>
      <c r="J205" s="30"/>
      <c r="K205" s="25">
        <f t="shared" si="43"/>
        <v>5201</v>
      </c>
      <c r="L205" s="25">
        <v>6103</v>
      </c>
      <c r="M205" s="25">
        <f t="shared" si="35"/>
        <v>902</v>
      </c>
      <c r="N205" s="29" t="s">
        <v>218</v>
      </c>
      <c r="O205" s="38" t="s">
        <v>463</v>
      </c>
      <c r="P205" s="23">
        <v>113</v>
      </c>
      <c r="Q205" s="26"/>
      <c r="R205" s="31" t="str">
        <f t="shared" si="36"/>
        <v/>
      </c>
      <c r="S205" s="31" t="str">
        <f t="shared" si="37"/>
        <v/>
      </c>
      <c r="T205" s="13" t="str">
        <f t="shared" si="38"/>
        <v/>
      </c>
      <c r="U205" s="13" t="str">
        <f t="shared" si="39"/>
        <v/>
      </c>
      <c r="V205" s="14" t="str">
        <f t="shared" si="40"/>
        <v/>
      </c>
      <c r="W205" s="26" t="s">
        <v>464</v>
      </c>
      <c r="X205" t="str">
        <f t="shared" si="41"/>
        <v>nicht auswertbar</v>
      </c>
      <c r="Y205" s="31" t="str">
        <f t="shared" si="42"/>
        <v/>
      </c>
      <c r="Z205" t="str">
        <f>IFERROR(VLOOKUP(A205,Unternehmen!$A:$D,4,FALSE()),"")</f>
        <v>Pharma &amp; Healthcare</v>
      </c>
    </row>
    <row r="206" spans="1:26" ht="15" customHeight="1" x14ac:dyDescent="0.35">
      <c r="A206" s="38" t="s">
        <v>94</v>
      </c>
      <c r="B206" s="23">
        <v>2022</v>
      </c>
      <c r="C206" s="23" t="s">
        <v>15</v>
      </c>
      <c r="D206" s="38" t="s">
        <v>463</v>
      </c>
      <c r="E206" s="23">
        <v>113</v>
      </c>
      <c r="F206" s="23" t="s">
        <v>133</v>
      </c>
      <c r="G206" s="23" t="s">
        <v>220</v>
      </c>
      <c r="H206" s="38" t="s">
        <v>221</v>
      </c>
      <c r="I206" s="30"/>
      <c r="J206" s="30"/>
      <c r="K206" s="25">
        <f t="shared" si="43"/>
        <v>19687</v>
      </c>
      <c r="L206" s="25">
        <v>22232</v>
      </c>
      <c r="M206" s="25">
        <f t="shared" si="35"/>
        <v>2545</v>
      </c>
      <c r="N206" s="28" t="s">
        <v>454</v>
      </c>
      <c r="O206" s="38" t="s">
        <v>465</v>
      </c>
      <c r="P206" s="23">
        <v>113</v>
      </c>
      <c r="Q206" s="26"/>
      <c r="R206" s="31" t="str">
        <f t="shared" si="36"/>
        <v/>
      </c>
      <c r="S206" s="31" t="str">
        <f t="shared" si="37"/>
        <v/>
      </c>
      <c r="T206" s="13" t="str">
        <f t="shared" si="38"/>
        <v/>
      </c>
      <c r="U206" s="13" t="str">
        <f t="shared" si="39"/>
        <v/>
      </c>
      <c r="V206" s="14" t="str">
        <f t="shared" si="40"/>
        <v/>
      </c>
      <c r="W206" s="26" t="s">
        <v>462</v>
      </c>
      <c r="X206" t="str">
        <f t="shared" si="41"/>
        <v>nicht auswertbar</v>
      </c>
      <c r="Y206" s="31" t="str">
        <f t="shared" si="42"/>
        <v/>
      </c>
      <c r="Z206" t="str">
        <f>IFERROR(VLOOKUP(A206,Unternehmen!$A:$D,4,FALSE()),"")</f>
        <v>Pharma &amp; Healthcare</v>
      </c>
    </row>
    <row r="207" spans="1:26" ht="15" customHeight="1" x14ac:dyDescent="0.35">
      <c r="A207" s="38" t="s">
        <v>94</v>
      </c>
      <c r="B207" s="23">
        <v>2022</v>
      </c>
      <c r="C207" s="23" t="s">
        <v>155</v>
      </c>
      <c r="D207" s="38" t="s">
        <v>463</v>
      </c>
      <c r="E207" s="23">
        <v>113</v>
      </c>
      <c r="F207" s="23" t="s">
        <v>133</v>
      </c>
      <c r="G207" s="23" t="s">
        <v>220</v>
      </c>
      <c r="H207" s="38" t="s">
        <v>221</v>
      </c>
      <c r="I207" s="30"/>
      <c r="J207" s="30"/>
      <c r="K207" s="25">
        <f t="shared" si="43"/>
        <v>6103</v>
      </c>
      <c r="L207" s="25">
        <v>6849</v>
      </c>
      <c r="M207" s="25">
        <f t="shared" si="35"/>
        <v>746</v>
      </c>
      <c r="N207" s="28" t="s">
        <v>454</v>
      </c>
      <c r="O207" s="38" t="s">
        <v>465</v>
      </c>
      <c r="P207" s="23">
        <v>113</v>
      </c>
      <c r="Q207" s="26"/>
      <c r="R207" s="31" t="str">
        <f t="shared" si="36"/>
        <v/>
      </c>
      <c r="S207" s="31" t="str">
        <f t="shared" si="37"/>
        <v/>
      </c>
      <c r="T207" s="13" t="str">
        <f t="shared" si="38"/>
        <v/>
      </c>
      <c r="U207" s="13" t="str">
        <f t="shared" si="39"/>
        <v/>
      </c>
      <c r="V207" s="14" t="str">
        <f t="shared" si="40"/>
        <v/>
      </c>
      <c r="W207" s="26" t="s">
        <v>462</v>
      </c>
      <c r="X207" t="str">
        <f t="shared" si="41"/>
        <v>nicht auswertbar</v>
      </c>
      <c r="Y207" s="31" t="str">
        <f t="shared" si="42"/>
        <v/>
      </c>
      <c r="Z207" t="str">
        <f>IFERROR(VLOOKUP(A207,Unternehmen!$A:$D,4,FALSE()),"")</f>
        <v>Pharma &amp; Healthcare</v>
      </c>
    </row>
    <row r="208" spans="1:26" ht="15" customHeight="1" x14ac:dyDescent="0.35">
      <c r="A208" s="38" t="s">
        <v>94</v>
      </c>
      <c r="B208" s="23">
        <v>2023</v>
      </c>
      <c r="C208" s="23" t="s">
        <v>15</v>
      </c>
      <c r="D208" s="38" t="s">
        <v>465</v>
      </c>
      <c r="E208" s="23">
        <v>113</v>
      </c>
      <c r="F208" s="23" t="s">
        <v>133</v>
      </c>
      <c r="G208" s="23" t="s">
        <v>220</v>
      </c>
      <c r="H208" s="38" t="s">
        <v>221</v>
      </c>
      <c r="I208" s="30"/>
      <c r="J208" s="30"/>
      <c r="K208" s="25">
        <f t="shared" si="43"/>
        <v>22232</v>
      </c>
      <c r="L208" s="25">
        <v>20993</v>
      </c>
      <c r="M208" s="25">
        <f t="shared" si="35"/>
        <v>-1239</v>
      </c>
      <c r="N208" s="27" t="s">
        <v>389</v>
      </c>
      <c r="O208" s="38" t="s">
        <v>466</v>
      </c>
      <c r="P208" s="23">
        <v>267</v>
      </c>
      <c r="Q208" s="26"/>
      <c r="R208" s="31" t="str">
        <f t="shared" si="36"/>
        <v/>
      </c>
      <c r="S208" s="31" t="str">
        <f t="shared" si="37"/>
        <v/>
      </c>
      <c r="T208" s="13" t="str">
        <f t="shared" si="38"/>
        <v/>
      </c>
      <c r="U208" s="13" t="str">
        <f t="shared" si="39"/>
        <v/>
      </c>
      <c r="V208" s="14" t="str">
        <f t="shared" si="40"/>
        <v/>
      </c>
      <c r="W208" s="26" t="s">
        <v>467</v>
      </c>
      <c r="X208" t="str">
        <f t="shared" si="41"/>
        <v>nicht auswertbar</v>
      </c>
      <c r="Y208" s="31" t="str">
        <f t="shared" si="42"/>
        <v/>
      </c>
      <c r="Z208" t="str">
        <f>IFERROR(VLOOKUP(A208,Unternehmen!$A:$D,4,FALSE()),"")</f>
        <v>Pharma &amp; Healthcare</v>
      </c>
    </row>
    <row r="209" spans="1:26" ht="15" customHeight="1" x14ac:dyDescent="0.35">
      <c r="A209" s="38" t="s">
        <v>94</v>
      </c>
      <c r="B209" s="23">
        <v>2023</v>
      </c>
      <c r="C209" s="23" t="s">
        <v>155</v>
      </c>
      <c r="D209" s="38" t="s">
        <v>465</v>
      </c>
      <c r="E209" s="23">
        <v>113</v>
      </c>
      <c r="F209" s="23" t="s">
        <v>133</v>
      </c>
      <c r="G209" s="23" t="s">
        <v>220</v>
      </c>
      <c r="H209" s="38" t="s">
        <v>221</v>
      </c>
      <c r="I209" s="30"/>
      <c r="J209" s="30"/>
      <c r="K209" s="25">
        <f t="shared" si="43"/>
        <v>6849</v>
      </c>
      <c r="L209" s="25">
        <v>5879</v>
      </c>
      <c r="M209" s="25">
        <f t="shared" si="35"/>
        <v>-970</v>
      </c>
      <c r="N209" s="28" t="s">
        <v>208</v>
      </c>
      <c r="O209" s="38" t="s">
        <v>466</v>
      </c>
      <c r="P209" s="23">
        <v>267</v>
      </c>
      <c r="Q209" s="26"/>
      <c r="R209" s="31" t="str">
        <f t="shared" si="36"/>
        <v/>
      </c>
      <c r="S209" s="31" t="str">
        <f t="shared" si="37"/>
        <v/>
      </c>
      <c r="T209" s="13" t="str">
        <f t="shared" si="38"/>
        <v/>
      </c>
      <c r="U209" s="13" t="str">
        <f t="shared" si="39"/>
        <v/>
      </c>
      <c r="V209" s="14" t="str">
        <f t="shared" si="40"/>
        <v/>
      </c>
      <c r="W209" s="26" t="s">
        <v>468</v>
      </c>
      <c r="X209" t="str">
        <f t="shared" si="41"/>
        <v>nicht auswertbar</v>
      </c>
      <c r="Y209" s="31" t="str">
        <f t="shared" si="42"/>
        <v/>
      </c>
      <c r="Z209" t="str">
        <f>IFERROR(VLOOKUP(A209,Unternehmen!$A:$D,4,FALSE()),"")</f>
        <v>Pharma &amp; Healthcare</v>
      </c>
    </row>
    <row r="210" spans="1:26" ht="15" customHeight="1" x14ac:dyDescent="0.35">
      <c r="A210" s="38" t="s">
        <v>94</v>
      </c>
      <c r="B210" s="23">
        <v>2024</v>
      </c>
      <c r="C210" s="23" t="s">
        <v>15</v>
      </c>
      <c r="D210" s="38" t="s">
        <v>466</v>
      </c>
      <c r="E210" s="23">
        <v>107</v>
      </c>
      <c r="F210" s="23" t="s">
        <v>133</v>
      </c>
      <c r="G210" s="23" t="s">
        <v>220</v>
      </c>
      <c r="H210" s="38" t="s">
        <v>221</v>
      </c>
      <c r="I210" s="30"/>
      <c r="J210" s="30"/>
      <c r="K210" s="25">
        <f t="shared" si="43"/>
        <v>20993</v>
      </c>
      <c r="L210" s="25">
        <v>21156</v>
      </c>
      <c r="M210" s="25">
        <f t="shared" si="35"/>
        <v>163</v>
      </c>
      <c r="N210" s="28" t="s">
        <v>208</v>
      </c>
      <c r="O210" s="38" t="s">
        <v>469</v>
      </c>
      <c r="P210" s="23">
        <v>433</v>
      </c>
      <c r="Q210" s="26"/>
      <c r="R210" s="31" t="str">
        <f t="shared" si="36"/>
        <v/>
      </c>
      <c r="S210" s="31" t="str">
        <f t="shared" si="37"/>
        <v/>
      </c>
      <c r="T210" s="13" t="str">
        <f t="shared" si="38"/>
        <v/>
      </c>
      <c r="U210" s="13" t="str">
        <f t="shared" si="39"/>
        <v/>
      </c>
      <c r="V210" s="14" t="str">
        <f t="shared" si="40"/>
        <v/>
      </c>
      <c r="W210" s="26" t="s">
        <v>470</v>
      </c>
      <c r="X210" t="str">
        <f t="shared" si="41"/>
        <v>nicht auswertbar</v>
      </c>
      <c r="Y210" s="31" t="str">
        <f t="shared" si="42"/>
        <v/>
      </c>
      <c r="Z210" t="str">
        <f>IFERROR(VLOOKUP(A210,Unternehmen!$A:$D,4,FALSE()),"")</f>
        <v>Pharma &amp; Healthcare</v>
      </c>
    </row>
    <row r="211" spans="1:26" ht="15" customHeight="1" x14ac:dyDescent="0.35">
      <c r="A211" s="38" t="s">
        <v>94</v>
      </c>
      <c r="B211" s="23">
        <v>2024</v>
      </c>
      <c r="C211" s="23" t="s">
        <v>155</v>
      </c>
      <c r="D211" s="38" t="s">
        <v>466</v>
      </c>
      <c r="E211" s="23">
        <v>107</v>
      </c>
      <c r="F211" s="23" t="s">
        <v>133</v>
      </c>
      <c r="G211" s="23" t="s">
        <v>220</v>
      </c>
      <c r="H211" s="38" t="s">
        <v>221</v>
      </c>
      <c r="I211" s="30"/>
      <c r="J211" s="30"/>
      <c r="K211" s="25">
        <f t="shared" si="43"/>
        <v>5879</v>
      </c>
      <c r="L211" s="25">
        <v>6072</v>
      </c>
      <c r="M211" s="25">
        <f t="shared" si="35"/>
        <v>193</v>
      </c>
      <c r="N211" s="28" t="s">
        <v>208</v>
      </c>
      <c r="O211" s="38" t="s">
        <v>469</v>
      </c>
      <c r="P211" s="23">
        <v>433</v>
      </c>
      <c r="Q211" s="26"/>
      <c r="R211" s="31" t="str">
        <f t="shared" si="36"/>
        <v/>
      </c>
      <c r="S211" s="31" t="str">
        <f t="shared" si="37"/>
        <v/>
      </c>
      <c r="T211" s="13" t="str">
        <f t="shared" si="38"/>
        <v/>
      </c>
      <c r="U211" s="13" t="str">
        <f t="shared" si="39"/>
        <v/>
      </c>
      <c r="V211" s="14" t="str">
        <f t="shared" si="40"/>
        <v/>
      </c>
      <c r="W211" s="26" t="s">
        <v>470</v>
      </c>
      <c r="X211" t="str">
        <f t="shared" si="41"/>
        <v>nicht auswertbar</v>
      </c>
      <c r="Y211" s="31" t="str">
        <f t="shared" si="42"/>
        <v/>
      </c>
      <c r="Z211" t="str">
        <f>IFERROR(VLOOKUP(A211,Unternehmen!$A:$D,4,FALSE()),"")</f>
        <v>Pharma &amp; Healthcare</v>
      </c>
    </row>
    <row r="212" spans="1:26" ht="15" customHeight="1" x14ac:dyDescent="0.35">
      <c r="A212" s="38" t="s">
        <v>97</v>
      </c>
      <c r="B212" s="23">
        <v>2020</v>
      </c>
      <c r="C212" s="23" t="s">
        <v>15</v>
      </c>
      <c r="D212" s="38" t="s">
        <v>471</v>
      </c>
      <c r="E212" s="23">
        <v>78</v>
      </c>
      <c r="F212" s="23" t="s">
        <v>133</v>
      </c>
      <c r="G212" s="23" t="s">
        <v>220</v>
      </c>
      <c r="H212" s="38" t="s">
        <v>221</v>
      </c>
      <c r="I212" s="30"/>
      <c r="J212" s="30"/>
      <c r="K212" s="25">
        <v>4628.3999999999996</v>
      </c>
      <c r="L212" s="25">
        <v>3977</v>
      </c>
      <c r="M212" s="25">
        <f t="shared" si="35"/>
        <v>-651.39999999999964</v>
      </c>
      <c r="N212" s="27" t="s">
        <v>389</v>
      </c>
      <c r="O212" s="38" t="s">
        <v>472</v>
      </c>
      <c r="P212" s="23">
        <v>2</v>
      </c>
      <c r="Q212" s="26"/>
      <c r="R212" s="31" t="str">
        <f t="shared" si="36"/>
        <v/>
      </c>
      <c r="S212" s="31" t="str">
        <f t="shared" si="37"/>
        <v/>
      </c>
      <c r="T212" s="13" t="str">
        <f t="shared" si="38"/>
        <v/>
      </c>
      <c r="U212" s="13" t="str">
        <f t="shared" si="39"/>
        <v/>
      </c>
      <c r="V212" s="14" t="str">
        <f t="shared" si="40"/>
        <v/>
      </c>
      <c r="W212" s="26" t="s">
        <v>473</v>
      </c>
      <c r="X212" t="str">
        <f t="shared" si="41"/>
        <v>nicht auswertbar</v>
      </c>
      <c r="Y212" s="31" t="str">
        <f t="shared" si="42"/>
        <v/>
      </c>
      <c r="Z212" t="str">
        <f>IFERROR(VLOOKUP(A212,Unternehmen!$A:$D,4,FALSE()),"")</f>
        <v>Industrie</v>
      </c>
    </row>
    <row r="213" spans="1:26" ht="15" customHeight="1" x14ac:dyDescent="0.35">
      <c r="A213" s="38" t="s">
        <v>97</v>
      </c>
      <c r="B213" s="23">
        <v>2020</v>
      </c>
      <c r="C213" s="23" t="s">
        <v>155</v>
      </c>
      <c r="D213" s="38" t="s">
        <v>471</v>
      </c>
      <c r="E213" s="23">
        <v>78</v>
      </c>
      <c r="F213" s="23" t="s">
        <v>133</v>
      </c>
      <c r="G213" s="23" t="s">
        <v>220</v>
      </c>
      <c r="H213" s="38" t="s">
        <v>221</v>
      </c>
      <c r="I213" s="30"/>
      <c r="J213" s="30"/>
      <c r="K213" s="25">
        <v>756.9</v>
      </c>
      <c r="L213" s="25">
        <v>416</v>
      </c>
      <c r="M213" s="25">
        <f t="shared" si="35"/>
        <v>-340.9</v>
      </c>
      <c r="N213" s="27" t="s">
        <v>389</v>
      </c>
      <c r="O213" s="38" t="s">
        <v>472</v>
      </c>
      <c r="P213" s="23">
        <v>2</v>
      </c>
      <c r="Q213" s="26"/>
      <c r="R213" s="31" t="str">
        <f t="shared" si="36"/>
        <v/>
      </c>
      <c r="S213" s="31" t="str">
        <f t="shared" si="37"/>
        <v/>
      </c>
      <c r="T213" s="13" t="str">
        <f t="shared" si="38"/>
        <v/>
      </c>
      <c r="U213" s="13" t="str">
        <f t="shared" si="39"/>
        <v/>
      </c>
      <c r="V213" s="14" t="str">
        <f t="shared" si="40"/>
        <v/>
      </c>
      <c r="W213" s="26" t="s">
        <v>474</v>
      </c>
      <c r="X213" t="str">
        <f t="shared" si="41"/>
        <v>nicht auswertbar</v>
      </c>
      <c r="Y213" s="31" t="str">
        <f t="shared" si="42"/>
        <v/>
      </c>
      <c r="Z213" t="str">
        <f>IFERROR(VLOOKUP(A213,Unternehmen!$A:$D,4,FALSE()),"")</f>
        <v>Industrie</v>
      </c>
    </row>
    <row r="214" spans="1:26" ht="15" customHeight="1" x14ac:dyDescent="0.35">
      <c r="A214" s="38" t="s">
        <v>97</v>
      </c>
      <c r="B214" s="23">
        <v>2021</v>
      </c>
      <c r="C214" s="23" t="s">
        <v>15</v>
      </c>
      <c r="D214" s="38" t="s">
        <v>472</v>
      </c>
      <c r="E214" s="23">
        <v>58</v>
      </c>
      <c r="F214" s="23" t="s">
        <v>138</v>
      </c>
      <c r="G214" s="23" t="s">
        <v>220</v>
      </c>
      <c r="H214" s="38" t="s">
        <v>221</v>
      </c>
      <c r="I214" s="25">
        <v>4200</v>
      </c>
      <c r="J214" s="25">
        <v>4600</v>
      </c>
      <c r="K214" s="25">
        <f>L212</f>
        <v>3977</v>
      </c>
      <c r="L214" s="25">
        <v>4118</v>
      </c>
      <c r="M214" s="25">
        <f t="shared" si="35"/>
        <v>141</v>
      </c>
      <c r="N214" s="37" t="s">
        <v>475</v>
      </c>
      <c r="O214" s="38" t="s">
        <v>476</v>
      </c>
      <c r="P214" s="23">
        <v>2</v>
      </c>
      <c r="Q214" s="26"/>
      <c r="R214" s="31">
        <f t="shared" si="36"/>
        <v>4400</v>
      </c>
      <c r="S214" s="31">
        <f t="shared" si="37"/>
        <v>282</v>
      </c>
      <c r="T214" s="13">
        <f t="shared" si="38"/>
        <v>6.8479844584749885E-2</v>
      </c>
      <c r="U214" s="13">
        <f t="shared" si="39"/>
        <v>6.8479844584749885E-2</v>
      </c>
      <c r="V214" s="14">
        <f t="shared" si="40"/>
        <v>0</v>
      </c>
      <c r="W214" s="26"/>
      <c r="X214" t="str">
        <f t="shared" si="41"/>
        <v>unterhalb</v>
      </c>
      <c r="Y214" s="31" t="str">
        <f t="shared" si="42"/>
        <v/>
      </c>
      <c r="Z214" t="str">
        <f>IFERROR(VLOOKUP(A214,Unternehmen!$A:$D,4,FALSE()),"")</f>
        <v>Industrie</v>
      </c>
    </row>
    <row r="215" spans="1:26" ht="15" customHeight="1" x14ac:dyDescent="0.35">
      <c r="A215" s="38" t="s">
        <v>97</v>
      </c>
      <c r="B215" s="23">
        <v>2021</v>
      </c>
      <c r="C215" s="23" t="s">
        <v>155</v>
      </c>
      <c r="D215" s="38" t="s">
        <v>472</v>
      </c>
      <c r="E215" s="23">
        <v>58</v>
      </c>
      <c r="F215" s="23" t="s">
        <v>137</v>
      </c>
      <c r="G215" s="23" t="s">
        <v>203</v>
      </c>
      <c r="H215" s="23" t="s">
        <v>204</v>
      </c>
      <c r="I215" s="24">
        <v>9.5000000000000001E-2</v>
      </c>
      <c r="J215" s="24">
        <v>0.105</v>
      </c>
      <c r="K215" s="24">
        <v>0.105</v>
      </c>
      <c r="L215" s="24">
        <v>0.112</v>
      </c>
      <c r="M215" s="24" t="s">
        <v>309</v>
      </c>
      <c r="N215" s="29" t="s">
        <v>218</v>
      </c>
      <c r="O215" s="38" t="s">
        <v>476</v>
      </c>
      <c r="P215" s="23">
        <v>2</v>
      </c>
      <c r="Q215" s="26"/>
      <c r="R215" s="13">
        <f t="shared" si="36"/>
        <v>0.1</v>
      </c>
      <c r="S215" s="13">
        <f t="shared" si="37"/>
        <v>-1.1999999999999997E-2</v>
      </c>
      <c r="T215" s="13" t="str">
        <f t="shared" si="38"/>
        <v/>
      </c>
      <c r="U215" s="13" t="str">
        <f t="shared" si="39"/>
        <v/>
      </c>
      <c r="V215" s="14">
        <f t="shared" si="40"/>
        <v>0</v>
      </c>
      <c r="W215" s="26"/>
      <c r="X215" t="str">
        <f t="shared" si="41"/>
        <v>oberhalb</v>
      </c>
      <c r="Y215" s="13">
        <f t="shared" si="42"/>
        <v>1.1999999999999997E-2</v>
      </c>
      <c r="Z215" t="str">
        <f>IFERROR(VLOOKUP(A215,Unternehmen!$A:$D,4,FALSE()),"")</f>
        <v>Industrie</v>
      </c>
    </row>
    <row r="216" spans="1:26" ht="15" customHeight="1" x14ac:dyDescent="0.35">
      <c r="A216" s="38" t="s">
        <v>97</v>
      </c>
      <c r="B216" s="23">
        <v>2022</v>
      </c>
      <c r="C216" s="23" t="s">
        <v>15</v>
      </c>
      <c r="D216" s="38" t="s">
        <v>476</v>
      </c>
      <c r="E216" s="23">
        <v>68</v>
      </c>
      <c r="F216" s="23" t="s">
        <v>138</v>
      </c>
      <c r="G216" s="23" t="s">
        <v>220</v>
      </c>
      <c r="H216" s="38" t="s">
        <v>221</v>
      </c>
      <c r="I216" s="25">
        <v>5200</v>
      </c>
      <c r="J216" s="25">
        <v>5400</v>
      </c>
      <c r="K216" s="25">
        <f>L214</f>
        <v>4118</v>
      </c>
      <c r="L216" s="25">
        <v>5330</v>
      </c>
      <c r="M216" s="25">
        <f>L216-K216</f>
        <v>1212</v>
      </c>
      <c r="N216" s="28" t="s">
        <v>208</v>
      </c>
      <c r="O216" s="38" t="s">
        <v>477</v>
      </c>
      <c r="P216" s="23">
        <v>2</v>
      </c>
      <c r="Q216" s="26"/>
      <c r="R216" s="31">
        <f t="shared" si="36"/>
        <v>5300</v>
      </c>
      <c r="S216" s="31">
        <f t="shared" si="37"/>
        <v>-30</v>
      </c>
      <c r="T216" s="13">
        <f t="shared" si="38"/>
        <v>-5.6285178236397749E-3</v>
      </c>
      <c r="U216" s="13">
        <f t="shared" si="39"/>
        <v>5.6285178236397749E-3</v>
      </c>
      <c r="V216" s="14">
        <f t="shared" si="40"/>
        <v>1</v>
      </c>
      <c r="W216" s="26"/>
      <c r="X216" t="str">
        <f t="shared" si="41"/>
        <v>innerhalb</v>
      </c>
      <c r="Y216" s="31" t="str">
        <f t="shared" si="42"/>
        <v/>
      </c>
      <c r="Z216" t="str">
        <f>IFERROR(VLOOKUP(A216,Unternehmen!$A:$D,4,FALSE()),"")</f>
        <v>Industrie</v>
      </c>
    </row>
    <row r="217" spans="1:26" ht="15" customHeight="1" x14ac:dyDescent="0.35">
      <c r="A217" s="38" t="s">
        <v>97</v>
      </c>
      <c r="B217" s="23">
        <v>2022</v>
      </c>
      <c r="C217" s="23" t="s">
        <v>155</v>
      </c>
      <c r="D217" s="38" t="s">
        <v>476</v>
      </c>
      <c r="E217" s="23">
        <v>68</v>
      </c>
      <c r="F217" s="23" t="s">
        <v>133</v>
      </c>
      <c r="G217" s="23" t="s">
        <v>220</v>
      </c>
      <c r="H217" s="38" t="s">
        <v>221</v>
      </c>
      <c r="I217" s="30"/>
      <c r="J217" s="30"/>
      <c r="K217" s="25">
        <v>468</v>
      </c>
      <c r="L217" s="25">
        <v>655</v>
      </c>
      <c r="M217" s="25">
        <f>L217-K217</f>
        <v>187</v>
      </c>
      <c r="N217" s="29" t="s">
        <v>218</v>
      </c>
      <c r="O217" s="38" t="s">
        <v>477</v>
      </c>
      <c r="P217" s="23">
        <v>2</v>
      </c>
      <c r="Q217" s="26"/>
      <c r="R217" s="31" t="str">
        <f t="shared" si="36"/>
        <v/>
      </c>
      <c r="S217" s="31" t="str">
        <f t="shared" si="37"/>
        <v/>
      </c>
      <c r="T217" s="13" t="str">
        <f t="shared" si="38"/>
        <v/>
      </c>
      <c r="U217" s="13" t="str">
        <f t="shared" si="39"/>
        <v/>
      </c>
      <c r="V217" s="14" t="str">
        <f t="shared" si="40"/>
        <v/>
      </c>
      <c r="W217" s="26" t="s">
        <v>478</v>
      </c>
      <c r="X217" t="str">
        <f t="shared" si="41"/>
        <v>nicht auswertbar</v>
      </c>
      <c r="Y217" s="31" t="str">
        <f t="shared" si="42"/>
        <v/>
      </c>
      <c r="Z217" t="str">
        <f>IFERROR(VLOOKUP(A217,Unternehmen!$A:$D,4,FALSE()),"")</f>
        <v>Industrie</v>
      </c>
    </row>
    <row r="218" spans="1:26" ht="15" customHeight="1" x14ac:dyDescent="0.35">
      <c r="A218" s="38" t="s">
        <v>97</v>
      </c>
      <c r="B218" s="23">
        <v>2023</v>
      </c>
      <c r="C218" s="23" t="s">
        <v>15</v>
      </c>
      <c r="D218" s="38" t="s">
        <v>477</v>
      </c>
      <c r="E218" s="23">
        <v>73</v>
      </c>
      <c r="F218" s="23" t="s">
        <v>138</v>
      </c>
      <c r="G218" s="23" t="s">
        <v>220</v>
      </c>
      <c r="H218" s="38" t="s">
        <v>221</v>
      </c>
      <c r="I218" s="25">
        <v>6100</v>
      </c>
      <c r="J218" s="25">
        <v>6300</v>
      </c>
      <c r="K218" s="25">
        <f>L216</f>
        <v>5330</v>
      </c>
      <c r="L218" s="25">
        <v>5363</v>
      </c>
      <c r="M218" s="25">
        <f>L218-K218</f>
        <v>33</v>
      </c>
      <c r="N218" s="37" t="s">
        <v>479</v>
      </c>
      <c r="O218" s="38" t="s">
        <v>480</v>
      </c>
      <c r="P218" s="23">
        <v>3</v>
      </c>
      <c r="Q218" s="26"/>
      <c r="R218" s="31">
        <f t="shared" si="36"/>
        <v>6200</v>
      </c>
      <c r="S218" s="31">
        <f t="shared" si="37"/>
        <v>837</v>
      </c>
      <c r="T218" s="13">
        <f t="shared" si="38"/>
        <v>0.15606936416184972</v>
      </c>
      <c r="U218" s="13">
        <f t="shared" si="39"/>
        <v>0.15606936416184972</v>
      </c>
      <c r="V218" s="14">
        <f t="shared" si="40"/>
        <v>0</v>
      </c>
      <c r="W218" s="26"/>
      <c r="X218" t="str">
        <f t="shared" si="41"/>
        <v>unterhalb</v>
      </c>
      <c r="Y218" s="31" t="str">
        <f t="shared" si="42"/>
        <v/>
      </c>
      <c r="Z218" t="str">
        <f>IFERROR(VLOOKUP(A218,Unternehmen!$A:$D,4,FALSE()),"")</f>
        <v>Industrie</v>
      </c>
    </row>
    <row r="219" spans="1:26" ht="15" customHeight="1" x14ac:dyDescent="0.35">
      <c r="A219" s="38" t="s">
        <v>97</v>
      </c>
      <c r="B219" s="23">
        <v>2023</v>
      </c>
      <c r="C219" s="23" t="s">
        <v>155</v>
      </c>
      <c r="D219" s="38" t="s">
        <v>477</v>
      </c>
      <c r="E219" s="23">
        <v>73</v>
      </c>
      <c r="F219" s="23" t="s">
        <v>133</v>
      </c>
      <c r="G219" s="23" t="s">
        <v>203</v>
      </c>
      <c r="H219" s="23" t="s">
        <v>204</v>
      </c>
      <c r="I219" s="30"/>
      <c r="J219" s="30"/>
      <c r="K219" s="24">
        <v>0.123</v>
      </c>
      <c r="L219" s="24">
        <v>0.129</v>
      </c>
      <c r="M219" s="24" t="s">
        <v>279</v>
      </c>
      <c r="N219" s="28" t="s">
        <v>208</v>
      </c>
      <c r="O219" s="38" t="s">
        <v>480</v>
      </c>
      <c r="P219" s="23">
        <v>3</v>
      </c>
      <c r="Q219" s="26"/>
      <c r="R219" s="13" t="str">
        <f t="shared" si="36"/>
        <v/>
      </c>
      <c r="S219" s="13" t="str">
        <f t="shared" si="37"/>
        <v/>
      </c>
      <c r="T219" s="13" t="str">
        <f t="shared" si="38"/>
        <v/>
      </c>
      <c r="U219" s="13" t="str">
        <f t="shared" si="39"/>
        <v/>
      </c>
      <c r="V219" s="14" t="str">
        <f t="shared" si="40"/>
        <v/>
      </c>
      <c r="W219" s="26" t="s">
        <v>391</v>
      </c>
      <c r="X219" t="str">
        <f t="shared" si="41"/>
        <v>nicht auswertbar</v>
      </c>
      <c r="Y219" s="13" t="str">
        <f t="shared" si="42"/>
        <v/>
      </c>
      <c r="Z219" t="str">
        <f>IFERROR(VLOOKUP(A219,Unternehmen!$A:$D,4,FALSE()),"")</f>
        <v>Industrie</v>
      </c>
    </row>
    <row r="220" spans="1:26" ht="15" customHeight="1" x14ac:dyDescent="0.35">
      <c r="A220" s="38" t="s">
        <v>97</v>
      </c>
      <c r="B220" s="23">
        <v>2024</v>
      </c>
      <c r="C220" s="23" t="s">
        <v>15</v>
      </c>
      <c r="D220" s="38" t="s">
        <v>480</v>
      </c>
      <c r="E220" s="23">
        <v>74</v>
      </c>
      <c r="F220" s="23" t="s">
        <v>138</v>
      </c>
      <c r="G220" s="23" t="s">
        <v>220</v>
      </c>
      <c r="H220" s="38" t="s">
        <v>221</v>
      </c>
      <c r="I220" s="25">
        <v>7300</v>
      </c>
      <c r="J220" s="25">
        <v>7500</v>
      </c>
      <c r="K220" s="25">
        <v>6326</v>
      </c>
      <c r="L220" s="25">
        <v>7488</v>
      </c>
      <c r="M220" s="25">
        <f>L220-K220</f>
        <v>1162</v>
      </c>
      <c r="N220" s="28" t="s">
        <v>208</v>
      </c>
      <c r="O220" s="38" t="s">
        <v>481</v>
      </c>
      <c r="P220" s="23">
        <v>3</v>
      </c>
      <c r="Q220" s="26" t="s">
        <v>482</v>
      </c>
      <c r="R220" s="31">
        <f t="shared" si="36"/>
        <v>7400</v>
      </c>
      <c r="S220" s="31">
        <f t="shared" si="37"/>
        <v>-88</v>
      </c>
      <c r="T220" s="13">
        <f t="shared" si="38"/>
        <v>-1.1752136752136752E-2</v>
      </c>
      <c r="U220" s="13">
        <f t="shared" si="39"/>
        <v>1.1752136752136752E-2</v>
      </c>
      <c r="V220" s="14">
        <f t="shared" si="40"/>
        <v>1</v>
      </c>
      <c r="W220" s="26"/>
      <c r="X220" t="str">
        <f t="shared" si="41"/>
        <v>innerhalb</v>
      </c>
      <c r="Y220" s="31" t="str">
        <f t="shared" si="42"/>
        <v/>
      </c>
      <c r="Z220" t="str">
        <f>IFERROR(VLOOKUP(A220,Unternehmen!$A:$D,4,FALSE()),"")</f>
        <v>Industrie</v>
      </c>
    </row>
    <row r="221" spans="1:26" ht="15" customHeight="1" x14ac:dyDescent="0.35">
      <c r="A221" s="38" t="s">
        <v>97</v>
      </c>
      <c r="B221" s="23">
        <v>2024</v>
      </c>
      <c r="C221" s="23" t="s">
        <v>155</v>
      </c>
      <c r="D221" s="38" t="s">
        <v>480</v>
      </c>
      <c r="E221" s="23">
        <v>74</v>
      </c>
      <c r="F221" s="23" t="s">
        <v>137</v>
      </c>
      <c r="G221" s="23" t="s">
        <v>203</v>
      </c>
      <c r="H221" s="23" t="s">
        <v>204</v>
      </c>
      <c r="I221" s="24">
        <v>0.12</v>
      </c>
      <c r="J221" s="24">
        <v>0.13</v>
      </c>
      <c r="K221" s="24">
        <f>L219</f>
        <v>0.129</v>
      </c>
      <c r="L221" s="24">
        <v>0.14000000000000001</v>
      </c>
      <c r="M221" s="24" t="s">
        <v>306</v>
      </c>
      <c r="N221" s="29" t="s">
        <v>218</v>
      </c>
      <c r="O221" s="38" t="s">
        <v>481</v>
      </c>
      <c r="P221" s="23">
        <v>3</v>
      </c>
      <c r="Q221" s="26"/>
      <c r="R221" s="13">
        <f t="shared" si="36"/>
        <v>0.125</v>
      </c>
      <c r="S221" s="13">
        <f t="shared" si="37"/>
        <v>-1.5000000000000013E-2</v>
      </c>
      <c r="T221" s="13" t="str">
        <f t="shared" si="38"/>
        <v/>
      </c>
      <c r="U221" s="13" t="str">
        <f t="shared" si="39"/>
        <v/>
      </c>
      <c r="V221" s="14">
        <f t="shared" si="40"/>
        <v>0</v>
      </c>
      <c r="W221" s="26"/>
      <c r="X221" t="str">
        <f t="shared" si="41"/>
        <v>oberhalb</v>
      </c>
      <c r="Y221" s="13">
        <f t="shared" si="42"/>
        <v>1.5000000000000013E-2</v>
      </c>
      <c r="Z221" t="str">
        <f>IFERROR(VLOOKUP(A221,Unternehmen!$A:$D,4,FALSE()),"")</f>
        <v>Industrie</v>
      </c>
    </row>
    <row r="222" spans="1:26" ht="15" customHeight="1" x14ac:dyDescent="0.35">
      <c r="A222" s="38" t="s">
        <v>102</v>
      </c>
      <c r="B222" s="23">
        <v>2020</v>
      </c>
      <c r="C222" s="23" t="s">
        <v>15</v>
      </c>
      <c r="D222" s="43"/>
      <c r="E222" s="35"/>
      <c r="F222" s="35" t="s">
        <v>134</v>
      </c>
      <c r="G222" s="35"/>
      <c r="H222" s="43"/>
      <c r="I222" s="30"/>
      <c r="J222" s="30"/>
      <c r="K222" s="30"/>
      <c r="L222" s="30"/>
      <c r="M222" s="30"/>
      <c r="N222" s="30"/>
      <c r="O222" s="43"/>
      <c r="P222" s="35"/>
      <c r="Q222" s="26"/>
      <c r="R222" s="31" t="str">
        <f t="shared" si="36"/>
        <v/>
      </c>
      <c r="S222" s="31" t="str">
        <f t="shared" si="37"/>
        <v/>
      </c>
      <c r="T222" s="13" t="str">
        <f t="shared" si="38"/>
        <v/>
      </c>
      <c r="U222" s="13" t="str">
        <f t="shared" si="39"/>
        <v/>
      </c>
      <c r="V222" s="14" t="str">
        <f t="shared" si="40"/>
        <v/>
      </c>
      <c r="W222" s="26"/>
      <c r="X222" t="str">
        <f t="shared" si="41"/>
        <v>nicht auswertbar</v>
      </c>
      <c r="Y222" s="31" t="str">
        <f t="shared" si="42"/>
        <v/>
      </c>
      <c r="Z222" t="str">
        <f>IFERROR(VLOOKUP(A222,Unternehmen!$A:$D,4,FALSE()),"")</f>
        <v>Versicherungen</v>
      </c>
    </row>
    <row r="223" spans="1:26" ht="15" customHeight="1" x14ac:dyDescent="0.35">
      <c r="A223" s="38" t="s">
        <v>102</v>
      </c>
      <c r="B223" s="23">
        <v>2020</v>
      </c>
      <c r="C223" s="23" t="s">
        <v>155</v>
      </c>
      <c r="D223" s="38" t="s">
        <v>483</v>
      </c>
      <c r="E223" s="23">
        <v>85</v>
      </c>
      <c r="F223" s="23" t="s">
        <v>139</v>
      </c>
      <c r="G223" s="23" t="s">
        <v>220</v>
      </c>
      <c r="H223" s="38" t="s">
        <v>221</v>
      </c>
      <c r="I223" s="25">
        <v>2500</v>
      </c>
      <c r="J223" s="25">
        <v>2500</v>
      </c>
      <c r="K223" s="25">
        <v>2707</v>
      </c>
      <c r="L223" s="25">
        <v>1211</v>
      </c>
      <c r="M223" s="25">
        <f>L223-K223</f>
        <v>-1496</v>
      </c>
      <c r="N223" s="37" t="s">
        <v>484</v>
      </c>
      <c r="O223" s="38" t="s">
        <v>485</v>
      </c>
      <c r="P223" s="23">
        <v>118</v>
      </c>
      <c r="Q223" s="26"/>
      <c r="R223" s="31">
        <f t="shared" si="36"/>
        <v>2500</v>
      </c>
      <c r="S223" s="31">
        <f t="shared" si="37"/>
        <v>1289</v>
      </c>
      <c r="T223" s="13">
        <f t="shared" si="38"/>
        <v>1.064409578860446</v>
      </c>
      <c r="U223" s="13">
        <f t="shared" si="39"/>
        <v>1.064409578860446</v>
      </c>
      <c r="V223" s="14" t="str">
        <f t="shared" si="40"/>
        <v/>
      </c>
      <c r="W223" s="26"/>
      <c r="X223" t="str">
        <f t="shared" si="41"/>
        <v>Punktprognose</v>
      </c>
      <c r="Y223" s="31" t="str">
        <f t="shared" si="42"/>
        <v/>
      </c>
      <c r="Z223" t="str">
        <f>IFERROR(VLOOKUP(A223,Unternehmen!$A:$D,4,FALSE()),"")</f>
        <v>Versicherungen</v>
      </c>
    </row>
    <row r="224" spans="1:26" ht="15" customHeight="1" x14ac:dyDescent="0.35">
      <c r="A224" s="38" t="s">
        <v>102</v>
      </c>
      <c r="B224" s="23">
        <v>2021</v>
      </c>
      <c r="C224" s="23" t="s">
        <v>15</v>
      </c>
      <c r="D224" s="43"/>
      <c r="E224" s="35"/>
      <c r="F224" s="35" t="s">
        <v>134</v>
      </c>
      <c r="G224" s="35"/>
      <c r="H224" s="43"/>
      <c r="I224" s="30"/>
      <c r="J224" s="30"/>
      <c r="K224" s="30"/>
      <c r="L224" s="30"/>
      <c r="M224" s="30"/>
      <c r="N224" s="51"/>
      <c r="O224" s="43"/>
      <c r="P224" s="35"/>
      <c r="Q224" s="26"/>
      <c r="R224" s="31" t="str">
        <f t="shared" si="36"/>
        <v/>
      </c>
      <c r="S224" s="31" t="str">
        <f t="shared" si="37"/>
        <v/>
      </c>
      <c r="T224" s="13" t="str">
        <f t="shared" si="38"/>
        <v/>
      </c>
      <c r="U224" s="13" t="str">
        <f t="shared" si="39"/>
        <v/>
      </c>
      <c r="V224" s="14" t="str">
        <f t="shared" si="40"/>
        <v/>
      </c>
      <c r="W224" s="26"/>
      <c r="X224" t="str">
        <f t="shared" si="41"/>
        <v>nicht auswertbar</v>
      </c>
      <c r="Y224" s="31" t="str">
        <f t="shared" si="42"/>
        <v/>
      </c>
      <c r="Z224" t="str">
        <f>IFERROR(VLOOKUP(A224,Unternehmen!$A:$D,4,FALSE()),"")</f>
        <v>Versicherungen</v>
      </c>
    </row>
    <row r="225" spans="1:26" ht="15" customHeight="1" x14ac:dyDescent="0.35">
      <c r="A225" s="38" t="s">
        <v>102</v>
      </c>
      <c r="B225" s="23">
        <v>2021</v>
      </c>
      <c r="C225" s="23" t="s">
        <v>155</v>
      </c>
      <c r="D225" s="38" t="s">
        <v>485</v>
      </c>
      <c r="E225" s="23">
        <v>101</v>
      </c>
      <c r="F225" s="23" t="s">
        <v>139</v>
      </c>
      <c r="G225" s="23" t="s">
        <v>220</v>
      </c>
      <c r="H225" s="38" t="s">
        <v>221</v>
      </c>
      <c r="I225" s="25">
        <v>2800</v>
      </c>
      <c r="J225" s="25">
        <v>2800</v>
      </c>
      <c r="K225" s="25">
        <f>L223</f>
        <v>1211</v>
      </c>
      <c r="L225" s="25">
        <v>2932</v>
      </c>
      <c r="M225" s="25">
        <f>L225-K225</f>
        <v>1721</v>
      </c>
      <c r="N225" s="29" t="s">
        <v>218</v>
      </c>
      <c r="O225" s="38" t="s">
        <v>486</v>
      </c>
      <c r="P225" s="23">
        <v>122</v>
      </c>
      <c r="Q225" s="26"/>
      <c r="R225" s="31">
        <f t="shared" si="36"/>
        <v>2800</v>
      </c>
      <c r="S225" s="31">
        <f t="shared" si="37"/>
        <v>-132</v>
      </c>
      <c r="T225" s="13">
        <f t="shared" si="38"/>
        <v>-4.5020463847203276E-2</v>
      </c>
      <c r="U225" s="13">
        <f t="shared" si="39"/>
        <v>4.5020463847203276E-2</v>
      </c>
      <c r="V225" s="14" t="str">
        <f t="shared" si="40"/>
        <v/>
      </c>
      <c r="W225" s="26"/>
      <c r="X225" t="str">
        <f t="shared" si="41"/>
        <v>Punktprognose</v>
      </c>
      <c r="Y225" s="31" t="str">
        <f t="shared" si="42"/>
        <v/>
      </c>
      <c r="Z225" t="str">
        <f>IFERROR(VLOOKUP(A225,Unternehmen!$A:$D,4,FALSE()),"")</f>
        <v>Versicherungen</v>
      </c>
    </row>
    <row r="226" spans="1:26" ht="15" customHeight="1" x14ac:dyDescent="0.35">
      <c r="A226" s="38" t="s">
        <v>102</v>
      </c>
      <c r="B226" s="23">
        <v>2022</v>
      </c>
      <c r="C226" s="23" t="s">
        <v>15</v>
      </c>
      <c r="D226" s="43"/>
      <c r="E226" s="35"/>
      <c r="F226" s="35" t="s">
        <v>134</v>
      </c>
      <c r="G226" s="35"/>
      <c r="H226" s="43"/>
      <c r="I226" s="30"/>
      <c r="J226" s="30"/>
      <c r="K226" s="30"/>
      <c r="L226" s="30"/>
      <c r="M226" s="30"/>
      <c r="N226" s="51"/>
      <c r="O226" s="43"/>
      <c r="P226" s="35"/>
      <c r="Q226" s="26"/>
      <c r="R226" s="31" t="str">
        <f t="shared" si="36"/>
        <v/>
      </c>
      <c r="S226" s="31" t="str">
        <f t="shared" si="37"/>
        <v/>
      </c>
      <c r="T226" s="13" t="str">
        <f t="shared" si="38"/>
        <v/>
      </c>
      <c r="U226" s="13" t="str">
        <f t="shared" si="39"/>
        <v/>
      </c>
      <c r="V226" s="14" t="str">
        <f t="shared" si="40"/>
        <v/>
      </c>
      <c r="W226" s="26"/>
      <c r="X226" t="str">
        <f t="shared" si="41"/>
        <v>nicht auswertbar</v>
      </c>
      <c r="Y226" s="31" t="str">
        <f t="shared" si="42"/>
        <v/>
      </c>
      <c r="Z226" t="str">
        <f>IFERROR(VLOOKUP(A226,Unternehmen!$A:$D,4,FALSE()),"")</f>
        <v>Versicherungen</v>
      </c>
    </row>
    <row r="227" spans="1:26" ht="15" customHeight="1" x14ac:dyDescent="0.35">
      <c r="A227" s="38" t="s">
        <v>102</v>
      </c>
      <c r="B227" s="23">
        <v>2022</v>
      </c>
      <c r="C227" s="23" t="s">
        <v>155</v>
      </c>
      <c r="D227" s="38" t="s">
        <v>486</v>
      </c>
      <c r="E227" s="23">
        <v>82</v>
      </c>
      <c r="F227" s="23" t="s">
        <v>139</v>
      </c>
      <c r="G227" s="23" t="s">
        <v>220</v>
      </c>
      <c r="H227" s="38" t="s">
        <v>221</v>
      </c>
      <c r="I227" s="25">
        <v>3300</v>
      </c>
      <c r="J227" s="25">
        <v>3300</v>
      </c>
      <c r="K227" s="25">
        <f>L225</f>
        <v>2932</v>
      </c>
      <c r="L227" s="25">
        <v>3419</v>
      </c>
      <c r="M227" s="25">
        <f>L227-K227</f>
        <v>487</v>
      </c>
      <c r="N227" s="29" t="s">
        <v>218</v>
      </c>
      <c r="O227" s="38" t="s">
        <v>487</v>
      </c>
      <c r="P227" s="23">
        <v>134</v>
      </c>
      <c r="Q227" s="26"/>
      <c r="R227" s="31">
        <f t="shared" si="36"/>
        <v>3300</v>
      </c>
      <c r="S227" s="31">
        <f t="shared" si="37"/>
        <v>-119</v>
      </c>
      <c r="T227" s="13">
        <f t="shared" si="38"/>
        <v>-3.4805498683825681E-2</v>
      </c>
      <c r="U227" s="13">
        <f t="shared" si="39"/>
        <v>3.4805498683825681E-2</v>
      </c>
      <c r="V227" s="14" t="str">
        <f t="shared" si="40"/>
        <v/>
      </c>
      <c r="W227" s="26"/>
      <c r="X227" t="str">
        <f t="shared" si="41"/>
        <v>Punktprognose</v>
      </c>
      <c r="Y227" s="31" t="str">
        <f t="shared" si="42"/>
        <v/>
      </c>
      <c r="Z227" t="str">
        <f>IFERROR(VLOOKUP(A227,Unternehmen!$A:$D,4,FALSE()),"")</f>
        <v>Versicherungen</v>
      </c>
    </row>
    <row r="228" spans="1:26" ht="15" customHeight="1" x14ac:dyDescent="0.35">
      <c r="A228" s="38" t="s">
        <v>102</v>
      </c>
      <c r="B228" s="23">
        <v>2023</v>
      </c>
      <c r="C228" s="23" t="s">
        <v>15</v>
      </c>
      <c r="D228" s="43"/>
      <c r="E228" s="35"/>
      <c r="F228" s="35" t="s">
        <v>134</v>
      </c>
      <c r="G228" s="35"/>
      <c r="H228" s="43"/>
      <c r="I228" s="30"/>
      <c r="J228" s="30"/>
      <c r="K228" s="30"/>
      <c r="L228" s="30"/>
      <c r="M228" s="30"/>
      <c r="N228" s="51"/>
      <c r="O228" s="43"/>
      <c r="P228" s="35"/>
      <c r="Q228" s="26"/>
      <c r="R228" s="31" t="str">
        <f t="shared" si="36"/>
        <v/>
      </c>
      <c r="S228" s="31" t="str">
        <f t="shared" si="37"/>
        <v/>
      </c>
      <c r="T228" s="13" t="str">
        <f t="shared" si="38"/>
        <v/>
      </c>
      <c r="U228" s="13" t="str">
        <f t="shared" si="39"/>
        <v/>
      </c>
      <c r="V228" s="14" t="str">
        <f t="shared" si="40"/>
        <v/>
      </c>
      <c r="W228" s="26"/>
      <c r="X228" t="str">
        <f t="shared" si="41"/>
        <v>nicht auswertbar</v>
      </c>
      <c r="Y228" s="31" t="str">
        <f t="shared" si="42"/>
        <v/>
      </c>
      <c r="Z228" t="str">
        <f>IFERROR(VLOOKUP(A228,Unternehmen!$A:$D,4,FALSE()),"")</f>
        <v>Versicherungen</v>
      </c>
    </row>
    <row r="229" spans="1:26" ht="15" customHeight="1" x14ac:dyDescent="0.35">
      <c r="A229" s="38" t="s">
        <v>102</v>
      </c>
      <c r="B229" s="23">
        <v>2023</v>
      </c>
      <c r="C229" s="23" t="s">
        <v>155</v>
      </c>
      <c r="D229" s="38" t="s">
        <v>487</v>
      </c>
      <c r="E229" s="23">
        <v>91</v>
      </c>
      <c r="F229" s="23" t="s">
        <v>139</v>
      </c>
      <c r="G229" s="23" t="s">
        <v>220</v>
      </c>
      <c r="H229" s="38" t="s">
        <v>221</v>
      </c>
      <c r="I229" s="25">
        <v>4000</v>
      </c>
      <c r="J229" s="25">
        <v>4000</v>
      </c>
      <c r="K229" s="25">
        <v>5309</v>
      </c>
      <c r="L229" s="25">
        <v>4597</v>
      </c>
      <c r="M229" s="25">
        <f>L229-K229</f>
        <v>-712</v>
      </c>
      <c r="N229" s="29" t="s">
        <v>218</v>
      </c>
      <c r="O229" s="38" t="s">
        <v>488</v>
      </c>
      <c r="P229" s="23">
        <v>150</v>
      </c>
      <c r="Q229" s="26" t="s">
        <v>489</v>
      </c>
      <c r="R229" s="31">
        <f t="shared" si="36"/>
        <v>4000</v>
      </c>
      <c r="S229" s="31">
        <f t="shared" si="37"/>
        <v>-597</v>
      </c>
      <c r="T229" s="13">
        <f t="shared" si="38"/>
        <v>-0.12986730476397651</v>
      </c>
      <c r="U229" s="13">
        <f t="shared" si="39"/>
        <v>0.12986730476397651</v>
      </c>
      <c r="V229" s="14" t="str">
        <f t="shared" si="40"/>
        <v/>
      </c>
      <c r="W229" s="26"/>
      <c r="X229" t="str">
        <f t="shared" si="41"/>
        <v>Punktprognose</v>
      </c>
      <c r="Y229" s="31" t="str">
        <f t="shared" si="42"/>
        <v/>
      </c>
      <c r="Z229" t="str">
        <f>IFERROR(VLOOKUP(A229,Unternehmen!$A:$D,4,FALSE()),"")</f>
        <v>Versicherungen</v>
      </c>
    </row>
    <row r="230" spans="1:26" ht="15" customHeight="1" x14ac:dyDescent="0.35">
      <c r="A230" s="38" t="s">
        <v>102</v>
      </c>
      <c r="B230" s="23">
        <v>2024</v>
      </c>
      <c r="C230" s="23" t="s">
        <v>15</v>
      </c>
      <c r="D230" s="43"/>
      <c r="E230" s="35"/>
      <c r="F230" s="35" t="s">
        <v>134</v>
      </c>
      <c r="G230" s="35"/>
      <c r="H230" s="43"/>
      <c r="I230" s="30"/>
      <c r="J230" s="30"/>
      <c r="K230" s="30"/>
      <c r="L230" s="30"/>
      <c r="M230" s="30"/>
      <c r="N230" s="51"/>
      <c r="O230" s="43"/>
      <c r="P230" s="35"/>
      <c r="Q230" s="26"/>
      <c r="R230" s="31" t="str">
        <f t="shared" si="36"/>
        <v/>
      </c>
      <c r="S230" s="31" t="str">
        <f t="shared" si="37"/>
        <v/>
      </c>
      <c r="T230" s="13" t="str">
        <f t="shared" si="38"/>
        <v/>
      </c>
      <c r="U230" s="13" t="str">
        <f t="shared" si="39"/>
        <v/>
      </c>
      <c r="V230" s="14" t="str">
        <f t="shared" si="40"/>
        <v/>
      </c>
      <c r="W230" s="26"/>
      <c r="X230" t="str">
        <f t="shared" si="41"/>
        <v>nicht auswertbar</v>
      </c>
      <c r="Y230" s="31" t="str">
        <f t="shared" si="42"/>
        <v/>
      </c>
      <c r="Z230" t="str">
        <f>IFERROR(VLOOKUP(A230,Unternehmen!$A:$D,4,FALSE()),"")</f>
        <v>Versicherungen</v>
      </c>
    </row>
    <row r="231" spans="1:26" ht="15" customHeight="1" x14ac:dyDescent="0.35">
      <c r="A231" s="38" t="s">
        <v>102</v>
      </c>
      <c r="B231" s="23">
        <v>2024</v>
      </c>
      <c r="C231" s="23" t="s">
        <v>155</v>
      </c>
      <c r="D231" s="38" t="s">
        <v>488</v>
      </c>
      <c r="E231" s="23">
        <v>106</v>
      </c>
      <c r="F231" s="23" t="s">
        <v>139</v>
      </c>
      <c r="G231" s="23" t="s">
        <v>220</v>
      </c>
      <c r="H231" s="38" t="s">
        <v>221</v>
      </c>
      <c r="I231" s="25">
        <v>5000</v>
      </c>
      <c r="J231" s="25">
        <v>5000</v>
      </c>
      <c r="K231" s="25">
        <f>L229</f>
        <v>4597</v>
      </c>
      <c r="L231" s="25">
        <v>5671</v>
      </c>
      <c r="M231" s="25">
        <f>L231-K231</f>
        <v>1074</v>
      </c>
      <c r="N231" s="29" t="s">
        <v>218</v>
      </c>
      <c r="O231" s="38" t="s">
        <v>490</v>
      </c>
      <c r="P231" s="23">
        <v>204</v>
      </c>
      <c r="Q231" s="26"/>
      <c r="R231" s="31">
        <f t="shared" si="36"/>
        <v>5000</v>
      </c>
      <c r="S231" s="31">
        <f t="shared" si="37"/>
        <v>-671</v>
      </c>
      <c r="T231" s="13">
        <f t="shared" si="38"/>
        <v>-0.1183212837242109</v>
      </c>
      <c r="U231" s="13">
        <f t="shared" si="39"/>
        <v>0.1183212837242109</v>
      </c>
      <c r="V231" s="14" t="str">
        <f t="shared" si="40"/>
        <v/>
      </c>
      <c r="W231" s="26"/>
      <c r="X231" t="str">
        <f t="shared" si="41"/>
        <v>Punktprognose</v>
      </c>
      <c r="Y231" s="31" t="str">
        <f t="shared" si="42"/>
        <v/>
      </c>
      <c r="Z231" t="str">
        <f>IFERROR(VLOOKUP(A231,Unternehmen!$A:$D,4,FALSE()),"")</f>
        <v>Versicherungen</v>
      </c>
    </row>
    <row r="232" spans="1:26" ht="15" customHeight="1" x14ac:dyDescent="0.35">
      <c r="A232" s="38" t="s">
        <v>106</v>
      </c>
      <c r="B232" s="23">
        <v>2020</v>
      </c>
      <c r="C232" s="23" t="s">
        <v>15</v>
      </c>
      <c r="D232" s="43"/>
      <c r="E232" s="35"/>
      <c r="F232" s="35" t="s">
        <v>134</v>
      </c>
      <c r="G232" s="35"/>
      <c r="H232" s="43"/>
      <c r="I232" s="30"/>
      <c r="J232" s="30"/>
      <c r="K232" s="30"/>
      <c r="L232" s="30"/>
      <c r="M232" s="30"/>
      <c r="N232" s="51"/>
      <c r="O232" s="43"/>
      <c r="P232" s="35"/>
      <c r="Q232" s="26"/>
      <c r="R232" s="31" t="str">
        <f t="shared" si="36"/>
        <v/>
      </c>
      <c r="S232" s="31" t="str">
        <f t="shared" si="37"/>
        <v/>
      </c>
      <c r="T232" s="13" t="str">
        <f t="shared" si="38"/>
        <v/>
      </c>
      <c r="U232" s="13" t="str">
        <f t="shared" si="39"/>
        <v/>
      </c>
      <c r="V232" s="14" t="str">
        <f t="shared" si="40"/>
        <v/>
      </c>
      <c r="W232" s="26"/>
      <c r="X232" t="str">
        <f t="shared" si="41"/>
        <v>nicht auswertbar</v>
      </c>
      <c r="Y232" s="31" t="str">
        <f t="shared" si="42"/>
        <v/>
      </c>
      <c r="Z232" t="str">
        <f>IFERROR(VLOOKUP(A232,Unternehmen!$A:$D,4,FALSE()),"")</f>
        <v>Versorger</v>
      </c>
    </row>
    <row r="233" spans="1:26" ht="15" customHeight="1" x14ac:dyDescent="0.35">
      <c r="A233" s="38" t="s">
        <v>106</v>
      </c>
      <c r="B233" s="23">
        <v>2020</v>
      </c>
      <c r="C233" s="23" t="s">
        <v>155</v>
      </c>
      <c r="D233" s="38" t="s">
        <v>491</v>
      </c>
      <c r="E233" s="23">
        <v>94</v>
      </c>
      <c r="F233" s="23" t="s">
        <v>138</v>
      </c>
      <c r="G233" s="23" t="s">
        <v>220</v>
      </c>
      <c r="H233" s="38" t="s">
        <v>221</v>
      </c>
      <c r="I233" s="25">
        <v>2700</v>
      </c>
      <c r="J233" s="25">
        <v>3000</v>
      </c>
      <c r="K233" s="25">
        <v>2489</v>
      </c>
      <c r="L233" s="25">
        <v>3235</v>
      </c>
      <c r="M233" s="25">
        <f>L233-K233</f>
        <v>746</v>
      </c>
      <c r="N233" s="29" t="s">
        <v>218</v>
      </c>
      <c r="O233" s="38" t="s">
        <v>492</v>
      </c>
      <c r="P233" s="23">
        <v>3</v>
      </c>
      <c r="Q233" s="26"/>
      <c r="R233" s="31">
        <f t="shared" si="36"/>
        <v>2850</v>
      </c>
      <c r="S233" s="31">
        <f t="shared" si="37"/>
        <v>-385</v>
      </c>
      <c r="T233" s="13">
        <f t="shared" si="38"/>
        <v>-0.11901081916537867</v>
      </c>
      <c r="U233" s="13">
        <f t="shared" si="39"/>
        <v>0.11901081916537867</v>
      </c>
      <c r="V233" s="14">
        <f t="shared" si="40"/>
        <v>0</v>
      </c>
      <c r="W233" s="26"/>
      <c r="X233" t="str">
        <f t="shared" si="41"/>
        <v>oberhalb</v>
      </c>
      <c r="Y233" s="31" t="str">
        <f t="shared" si="42"/>
        <v/>
      </c>
      <c r="Z233" t="str">
        <f>IFERROR(VLOOKUP(A233,Unternehmen!$A:$D,4,FALSE()),"")</f>
        <v>Versorger</v>
      </c>
    </row>
    <row r="234" spans="1:26" ht="15" customHeight="1" x14ac:dyDescent="0.35">
      <c r="A234" s="38" t="s">
        <v>106</v>
      </c>
      <c r="B234" s="23">
        <v>2021</v>
      </c>
      <c r="C234" s="23" t="s">
        <v>15</v>
      </c>
      <c r="D234" s="43"/>
      <c r="E234" s="35"/>
      <c r="F234" s="35" t="s">
        <v>134</v>
      </c>
      <c r="G234" s="35"/>
      <c r="H234" s="43"/>
      <c r="I234" s="30"/>
      <c r="J234" s="30"/>
      <c r="K234" s="30"/>
      <c r="L234" s="30"/>
      <c r="M234" s="30"/>
      <c r="N234" s="51"/>
      <c r="O234" s="43"/>
      <c r="P234" s="35"/>
      <c r="Q234" s="26"/>
      <c r="R234" s="31" t="str">
        <f t="shared" si="36"/>
        <v/>
      </c>
      <c r="S234" s="31" t="str">
        <f t="shared" si="37"/>
        <v/>
      </c>
      <c r="T234" s="13" t="str">
        <f t="shared" si="38"/>
        <v/>
      </c>
      <c r="U234" s="13" t="str">
        <f t="shared" si="39"/>
        <v/>
      </c>
      <c r="V234" s="14" t="str">
        <f t="shared" si="40"/>
        <v/>
      </c>
      <c r="W234" s="26"/>
      <c r="X234" t="str">
        <f t="shared" si="41"/>
        <v>nicht auswertbar</v>
      </c>
      <c r="Y234" s="31" t="str">
        <f t="shared" si="42"/>
        <v/>
      </c>
      <c r="Z234" t="str">
        <f>IFERROR(VLOOKUP(A234,Unternehmen!$A:$D,4,FALSE()),"")</f>
        <v>Versorger</v>
      </c>
    </row>
    <row r="235" spans="1:26" ht="15" customHeight="1" x14ac:dyDescent="0.35">
      <c r="A235" s="38" t="s">
        <v>106</v>
      </c>
      <c r="B235" s="23">
        <v>2021</v>
      </c>
      <c r="C235" s="23" t="s">
        <v>155</v>
      </c>
      <c r="D235" s="38" t="s">
        <v>492</v>
      </c>
      <c r="E235" s="23">
        <v>67</v>
      </c>
      <c r="F235" s="23" t="s">
        <v>138</v>
      </c>
      <c r="G235" s="23" t="s">
        <v>220</v>
      </c>
      <c r="H235" s="38" t="s">
        <v>221</v>
      </c>
      <c r="I235" s="25">
        <v>2650</v>
      </c>
      <c r="J235" s="25">
        <v>3050</v>
      </c>
      <c r="K235" s="25">
        <v>3286</v>
      </c>
      <c r="L235" s="25">
        <v>3650</v>
      </c>
      <c r="M235" s="25">
        <f>L235-K235</f>
        <v>364</v>
      </c>
      <c r="N235" s="29" t="s">
        <v>218</v>
      </c>
      <c r="O235" s="38" t="s">
        <v>493</v>
      </c>
      <c r="P235" s="23">
        <v>3</v>
      </c>
      <c r="Q235" s="26" t="s">
        <v>494</v>
      </c>
      <c r="R235" s="31">
        <f t="shared" si="36"/>
        <v>2850</v>
      </c>
      <c r="S235" s="31">
        <f t="shared" si="37"/>
        <v>-800</v>
      </c>
      <c r="T235" s="13">
        <f t="shared" si="38"/>
        <v>-0.21917808219178081</v>
      </c>
      <c r="U235" s="13">
        <f t="shared" si="39"/>
        <v>0.21917808219178081</v>
      </c>
      <c r="V235" s="14">
        <f t="shared" si="40"/>
        <v>0</v>
      </c>
      <c r="W235" s="26"/>
      <c r="X235" t="str">
        <f t="shared" si="41"/>
        <v>oberhalb</v>
      </c>
      <c r="Y235" s="31" t="str">
        <f t="shared" si="42"/>
        <v/>
      </c>
      <c r="Z235" t="str">
        <f>IFERROR(VLOOKUP(A235,Unternehmen!$A:$D,4,FALSE()),"")</f>
        <v>Versorger</v>
      </c>
    </row>
    <row r="236" spans="1:26" ht="15" customHeight="1" x14ac:dyDescent="0.35">
      <c r="A236" s="38" t="s">
        <v>106</v>
      </c>
      <c r="B236" s="23">
        <v>2022</v>
      </c>
      <c r="C236" s="23" t="s">
        <v>15</v>
      </c>
      <c r="D236" s="43"/>
      <c r="E236" s="35"/>
      <c r="F236" s="35" t="s">
        <v>134</v>
      </c>
      <c r="G236" s="35"/>
      <c r="H236" s="43"/>
      <c r="I236" s="30"/>
      <c r="J236" s="30"/>
      <c r="K236" s="30"/>
      <c r="L236" s="30"/>
      <c r="M236" s="30"/>
      <c r="N236" s="51"/>
      <c r="O236" s="43"/>
      <c r="P236" s="35"/>
      <c r="Q236" s="26"/>
      <c r="R236" s="31" t="str">
        <f t="shared" si="36"/>
        <v/>
      </c>
      <c r="S236" s="31" t="str">
        <f t="shared" si="37"/>
        <v/>
      </c>
      <c r="T236" s="13" t="str">
        <f t="shared" si="38"/>
        <v/>
      </c>
      <c r="U236" s="13" t="str">
        <f t="shared" si="39"/>
        <v/>
      </c>
      <c r="V236" s="14" t="str">
        <f t="shared" si="40"/>
        <v/>
      </c>
      <c r="W236" s="26"/>
      <c r="X236" t="str">
        <f t="shared" si="41"/>
        <v>nicht auswertbar</v>
      </c>
      <c r="Y236" s="31" t="str">
        <f t="shared" si="42"/>
        <v/>
      </c>
      <c r="Z236" t="str">
        <f>IFERROR(VLOOKUP(A236,Unternehmen!$A:$D,4,FALSE()),"")</f>
        <v>Versorger</v>
      </c>
    </row>
    <row r="237" spans="1:26" ht="15" customHeight="1" x14ac:dyDescent="0.35">
      <c r="A237" s="38" t="s">
        <v>106</v>
      </c>
      <c r="B237" s="23">
        <v>2022</v>
      </c>
      <c r="C237" s="23" t="s">
        <v>155</v>
      </c>
      <c r="D237" s="38" t="s">
        <v>493</v>
      </c>
      <c r="E237" s="23">
        <v>67</v>
      </c>
      <c r="F237" s="23" t="s">
        <v>138</v>
      </c>
      <c r="G237" s="23" t="s">
        <v>220</v>
      </c>
      <c r="H237" s="38" t="s">
        <v>221</v>
      </c>
      <c r="I237" s="25">
        <v>3600</v>
      </c>
      <c r="J237" s="25">
        <v>4000</v>
      </c>
      <c r="K237" s="25">
        <f>L235</f>
        <v>3650</v>
      </c>
      <c r="L237" s="25">
        <v>6310</v>
      </c>
      <c r="M237" s="25">
        <f>L237-K237</f>
        <v>2660</v>
      </c>
      <c r="N237" s="29" t="s">
        <v>218</v>
      </c>
      <c r="O237" s="38" t="s">
        <v>495</v>
      </c>
      <c r="P237" s="23">
        <v>63</v>
      </c>
      <c r="Q237" s="26"/>
      <c r="R237" s="31">
        <f t="shared" si="36"/>
        <v>3800</v>
      </c>
      <c r="S237" s="31">
        <f t="shared" si="37"/>
        <v>-2510</v>
      </c>
      <c r="T237" s="13">
        <f t="shared" si="38"/>
        <v>-0.3977812995245642</v>
      </c>
      <c r="U237" s="13">
        <f t="shared" si="39"/>
        <v>0.3977812995245642</v>
      </c>
      <c r="V237" s="14">
        <f t="shared" si="40"/>
        <v>0</v>
      </c>
      <c r="W237" s="26"/>
      <c r="X237" t="str">
        <f t="shared" si="41"/>
        <v>oberhalb</v>
      </c>
      <c r="Y237" s="31" t="str">
        <f t="shared" si="42"/>
        <v/>
      </c>
      <c r="Z237" t="str">
        <f>IFERROR(VLOOKUP(A237,Unternehmen!$A:$D,4,FALSE()),"")</f>
        <v>Versorger</v>
      </c>
    </row>
    <row r="238" spans="1:26" ht="15" customHeight="1" x14ac:dyDescent="0.35">
      <c r="A238" s="38" t="s">
        <v>106</v>
      </c>
      <c r="B238" s="23">
        <v>2023</v>
      </c>
      <c r="C238" s="23" t="s">
        <v>15</v>
      </c>
      <c r="D238" s="43"/>
      <c r="E238" s="35"/>
      <c r="F238" s="35" t="s">
        <v>134</v>
      </c>
      <c r="G238" s="35"/>
      <c r="H238" s="43"/>
      <c r="I238" s="30"/>
      <c r="J238" s="30"/>
      <c r="K238" s="30"/>
      <c r="L238" s="30"/>
      <c r="M238" s="30"/>
      <c r="N238" s="51"/>
      <c r="O238" s="43"/>
      <c r="P238" s="35"/>
      <c r="Q238" s="26"/>
      <c r="R238" s="31" t="str">
        <f t="shared" si="36"/>
        <v/>
      </c>
      <c r="S238" s="31" t="str">
        <f t="shared" si="37"/>
        <v/>
      </c>
      <c r="T238" s="13" t="str">
        <f t="shared" si="38"/>
        <v/>
      </c>
      <c r="U238" s="13" t="str">
        <f t="shared" si="39"/>
        <v/>
      </c>
      <c r="V238" s="14" t="str">
        <f t="shared" si="40"/>
        <v/>
      </c>
      <c r="W238" s="26"/>
      <c r="X238" t="str">
        <f t="shared" si="41"/>
        <v>nicht auswertbar</v>
      </c>
      <c r="Y238" s="31" t="str">
        <f t="shared" si="42"/>
        <v/>
      </c>
      <c r="Z238" t="str">
        <f>IFERROR(VLOOKUP(A238,Unternehmen!$A:$D,4,FALSE()),"")</f>
        <v>Versorger</v>
      </c>
    </row>
    <row r="239" spans="1:26" ht="15" customHeight="1" x14ac:dyDescent="0.35">
      <c r="A239" s="38" t="s">
        <v>106</v>
      </c>
      <c r="B239" s="23">
        <v>2023</v>
      </c>
      <c r="C239" s="23" t="s">
        <v>155</v>
      </c>
      <c r="D239" s="38" t="s">
        <v>495</v>
      </c>
      <c r="E239" s="23">
        <v>63</v>
      </c>
      <c r="F239" s="23" t="s">
        <v>138</v>
      </c>
      <c r="G239" s="23" t="s">
        <v>220</v>
      </c>
      <c r="H239" s="38" t="s">
        <v>221</v>
      </c>
      <c r="I239" s="25">
        <v>5800</v>
      </c>
      <c r="J239" s="25">
        <v>6400</v>
      </c>
      <c r="K239" s="25">
        <f>L237</f>
        <v>6310</v>
      </c>
      <c r="L239" s="25">
        <v>8378</v>
      </c>
      <c r="M239" s="25">
        <f>L239-K239</f>
        <v>2068</v>
      </c>
      <c r="N239" s="29" t="s">
        <v>218</v>
      </c>
      <c r="O239" s="38" t="s">
        <v>496</v>
      </c>
      <c r="P239" s="23">
        <v>3</v>
      </c>
      <c r="Q239" s="26"/>
      <c r="R239" s="31">
        <f t="shared" si="36"/>
        <v>6100</v>
      </c>
      <c r="S239" s="31">
        <f t="shared" si="37"/>
        <v>-2278</v>
      </c>
      <c r="T239" s="13">
        <f t="shared" si="38"/>
        <v>-0.27190260205299593</v>
      </c>
      <c r="U239" s="13">
        <f t="shared" si="39"/>
        <v>0.27190260205299593</v>
      </c>
      <c r="V239" s="14">
        <f t="shared" si="40"/>
        <v>0</v>
      </c>
      <c r="W239" s="26"/>
      <c r="X239" t="str">
        <f t="shared" si="41"/>
        <v>oberhalb</v>
      </c>
      <c r="Y239" s="31" t="str">
        <f t="shared" si="42"/>
        <v/>
      </c>
      <c r="Z239" t="str">
        <f>IFERROR(VLOOKUP(A239,Unternehmen!$A:$D,4,FALSE()),"")</f>
        <v>Versorger</v>
      </c>
    </row>
    <row r="240" spans="1:26" ht="15" customHeight="1" x14ac:dyDescent="0.35">
      <c r="A240" s="38" t="s">
        <v>106</v>
      </c>
      <c r="B240" s="23">
        <v>2024</v>
      </c>
      <c r="C240" s="23" t="s">
        <v>15</v>
      </c>
      <c r="D240" s="43"/>
      <c r="E240" s="35"/>
      <c r="F240" s="35" t="s">
        <v>134</v>
      </c>
      <c r="G240" s="35"/>
      <c r="H240" s="43"/>
      <c r="I240" s="30"/>
      <c r="J240" s="30"/>
      <c r="K240" s="30"/>
      <c r="L240" s="30"/>
      <c r="M240" s="30"/>
      <c r="N240" s="51"/>
      <c r="O240" s="43"/>
      <c r="P240" s="35"/>
      <c r="Q240" s="26"/>
      <c r="R240" s="31" t="str">
        <f t="shared" si="36"/>
        <v/>
      </c>
      <c r="S240" s="31" t="str">
        <f t="shared" si="37"/>
        <v/>
      </c>
      <c r="T240" s="13" t="str">
        <f t="shared" si="38"/>
        <v/>
      </c>
      <c r="U240" s="13" t="str">
        <f t="shared" si="39"/>
        <v/>
      </c>
      <c r="V240" s="14" t="str">
        <f t="shared" si="40"/>
        <v/>
      </c>
      <c r="W240" s="26"/>
      <c r="X240" t="str">
        <f t="shared" si="41"/>
        <v>nicht auswertbar</v>
      </c>
      <c r="Y240" s="31" t="str">
        <f t="shared" si="42"/>
        <v/>
      </c>
      <c r="Z240" t="str">
        <f>IFERROR(VLOOKUP(A240,Unternehmen!$A:$D,4,FALSE()),"")</f>
        <v>Versorger</v>
      </c>
    </row>
    <row r="241" spans="1:26" ht="15" customHeight="1" x14ac:dyDescent="0.35">
      <c r="A241" s="38" t="s">
        <v>106</v>
      </c>
      <c r="B241" s="23">
        <v>2024</v>
      </c>
      <c r="C241" s="23" t="s">
        <v>155</v>
      </c>
      <c r="D241" s="38" t="s">
        <v>496</v>
      </c>
      <c r="E241" s="23">
        <v>61</v>
      </c>
      <c r="F241" s="23" t="s">
        <v>138</v>
      </c>
      <c r="G241" s="23" t="s">
        <v>220</v>
      </c>
      <c r="H241" s="38" t="s">
        <v>221</v>
      </c>
      <c r="I241" s="25">
        <v>5200</v>
      </c>
      <c r="J241" s="25">
        <v>5800</v>
      </c>
      <c r="K241" s="25">
        <v>7749</v>
      </c>
      <c r="L241" s="25">
        <v>5680</v>
      </c>
      <c r="M241" s="25">
        <f t="shared" ref="M241:M252" si="44">L241-K241</f>
        <v>-2069</v>
      </c>
      <c r="N241" s="28" t="s">
        <v>208</v>
      </c>
      <c r="O241" s="38" t="s">
        <v>497</v>
      </c>
      <c r="P241" s="23">
        <v>3</v>
      </c>
      <c r="Q241" s="26" t="s">
        <v>498</v>
      </c>
      <c r="R241" s="31">
        <f t="shared" si="36"/>
        <v>5500</v>
      </c>
      <c r="S241" s="31">
        <f t="shared" si="37"/>
        <v>-180</v>
      </c>
      <c r="T241" s="13">
        <f t="shared" si="38"/>
        <v>-3.1690140845070422E-2</v>
      </c>
      <c r="U241" s="13">
        <f t="shared" si="39"/>
        <v>3.1690140845070422E-2</v>
      </c>
      <c r="V241" s="14">
        <f t="shared" si="40"/>
        <v>1</v>
      </c>
      <c r="W241" s="26"/>
      <c r="X241" t="str">
        <f t="shared" si="41"/>
        <v>innerhalb</v>
      </c>
      <c r="Y241" s="31" t="str">
        <f t="shared" si="42"/>
        <v/>
      </c>
      <c r="Z241" t="str">
        <f>IFERROR(VLOOKUP(A241,Unternehmen!$A:$D,4,FALSE()),"")</f>
        <v>Versorger</v>
      </c>
    </row>
    <row r="242" spans="1:26" ht="15" customHeight="1" x14ac:dyDescent="0.35">
      <c r="A242" s="23" t="s">
        <v>109</v>
      </c>
      <c r="B242" s="23">
        <v>2020</v>
      </c>
      <c r="C242" s="23" t="s">
        <v>15</v>
      </c>
      <c r="D242" s="23" t="s">
        <v>499</v>
      </c>
      <c r="E242" s="23">
        <v>136</v>
      </c>
      <c r="F242" s="23" t="s">
        <v>137</v>
      </c>
      <c r="G242" s="23" t="s">
        <v>220</v>
      </c>
      <c r="H242" s="23" t="s">
        <v>226</v>
      </c>
      <c r="I242" s="25">
        <v>24.7</v>
      </c>
      <c r="J242" s="25">
        <v>25.1</v>
      </c>
      <c r="K242" s="25">
        <v>23.09</v>
      </c>
      <c r="L242" s="25">
        <v>23.72</v>
      </c>
      <c r="M242" s="25">
        <f t="shared" si="44"/>
        <v>0.62999999999999901</v>
      </c>
      <c r="N242" s="25" t="s">
        <v>500</v>
      </c>
      <c r="O242" s="23" t="s">
        <v>501</v>
      </c>
      <c r="P242" s="23">
        <v>63</v>
      </c>
      <c r="Q242" s="26"/>
      <c r="R242" s="31">
        <f t="shared" si="36"/>
        <v>24.9</v>
      </c>
      <c r="S242" s="31">
        <f t="shared" si="37"/>
        <v>1.1799999999999997</v>
      </c>
      <c r="T242" s="13">
        <f t="shared" si="38"/>
        <v>4.9747048903878571E-2</v>
      </c>
      <c r="U242" s="13">
        <f t="shared" si="39"/>
        <v>4.9747048903878571E-2</v>
      </c>
      <c r="V242" s="14">
        <f t="shared" si="40"/>
        <v>0</v>
      </c>
      <c r="W242" s="26"/>
      <c r="X242" t="str">
        <f t="shared" si="41"/>
        <v>unterhalb</v>
      </c>
      <c r="Y242" s="31" t="str">
        <f t="shared" si="42"/>
        <v/>
      </c>
      <c r="Z242" t="str">
        <f>IFERROR(VLOOKUP(A242,Unternehmen!$A:$D,4,FALSE()),"")</f>
        <v>Technologie</v>
      </c>
    </row>
    <row r="243" spans="1:26" ht="15" customHeight="1" x14ac:dyDescent="0.35">
      <c r="A243" s="23" t="s">
        <v>109</v>
      </c>
      <c r="B243" s="23">
        <v>2020</v>
      </c>
      <c r="C243" s="23" t="s">
        <v>155</v>
      </c>
      <c r="D243" s="23" t="s">
        <v>499</v>
      </c>
      <c r="E243" s="23">
        <v>136</v>
      </c>
      <c r="F243" s="23" t="s">
        <v>137</v>
      </c>
      <c r="G243" s="23" t="s">
        <v>220</v>
      </c>
      <c r="H243" s="23" t="s">
        <v>226</v>
      </c>
      <c r="I243" s="25">
        <v>8.9</v>
      </c>
      <c r="J243" s="25">
        <v>9.3000000000000007</v>
      </c>
      <c r="K243" s="25">
        <v>8.2080000000000002</v>
      </c>
      <c r="L243" s="25">
        <v>8.5030000000000001</v>
      </c>
      <c r="M243" s="25">
        <f t="shared" si="44"/>
        <v>0.29499999999999993</v>
      </c>
      <c r="N243" s="25" t="s">
        <v>502</v>
      </c>
      <c r="O243" s="23" t="s">
        <v>501</v>
      </c>
      <c r="P243" s="23">
        <v>63</v>
      </c>
      <c r="Q243" s="26"/>
      <c r="R243" s="31">
        <f t="shared" si="36"/>
        <v>9.1000000000000014</v>
      </c>
      <c r="S243" s="31">
        <f t="shared" si="37"/>
        <v>0.59700000000000131</v>
      </c>
      <c r="T243" s="13">
        <f t="shared" si="38"/>
        <v>7.0210513936257948E-2</v>
      </c>
      <c r="U243" s="13">
        <f t="shared" si="39"/>
        <v>7.0210513936257948E-2</v>
      </c>
      <c r="V243" s="14">
        <f t="shared" si="40"/>
        <v>0</v>
      </c>
      <c r="W243" s="26"/>
      <c r="X243" t="str">
        <f t="shared" si="41"/>
        <v>unterhalb</v>
      </c>
      <c r="Y243" s="31" t="str">
        <f t="shared" si="42"/>
        <v/>
      </c>
      <c r="Z243" t="str">
        <f>IFERROR(VLOOKUP(A243,Unternehmen!$A:$D,4,FALSE()),"")</f>
        <v>Technologie</v>
      </c>
    </row>
    <row r="244" spans="1:26" ht="15" customHeight="1" x14ac:dyDescent="0.35">
      <c r="A244" s="23" t="s">
        <v>109</v>
      </c>
      <c r="B244" s="23">
        <v>2021</v>
      </c>
      <c r="C244" s="23" t="s">
        <v>15</v>
      </c>
      <c r="D244" s="23" t="s">
        <v>501</v>
      </c>
      <c r="E244" s="23">
        <v>136</v>
      </c>
      <c r="F244" s="23" t="s">
        <v>137</v>
      </c>
      <c r="G244" s="23" t="s">
        <v>220</v>
      </c>
      <c r="H244" s="23" t="s">
        <v>226</v>
      </c>
      <c r="I244" s="25">
        <v>23.3</v>
      </c>
      <c r="J244" s="25">
        <v>23.8</v>
      </c>
      <c r="K244" s="25">
        <f t="shared" ref="K244:K251" si="45">L242</f>
        <v>23.72</v>
      </c>
      <c r="L244" s="25">
        <v>24.41</v>
      </c>
      <c r="M244" s="25">
        <f t="shared" si="44"/>
        <v>0.69000000000000128</v>
      </c>
      <c r="N244" s="29" t="s">
        <v>218</v>
      </c>
      <c r="O244" s="23" t="s">
        <v>503</v>
      </c>
      <c r="P244" s="23">
        <v>60</v>
      </c>
      <c r="Q244" s="26"/>
      <c r="R244" s="31">
        <f t="shared" si="36"/>
        <v>23.55</v>
      </c>
      <c r="S244" s="31">
        <f t="shared" si="37"/>
        <v>-0.85999999999999943</v>
      </c>
      <c r="T244" s="13">
        <f t="shared" si="38"/>
        <v>-3.5231462515362535E-2</v>
      </c>
      <c r="U244" s="13">
        <f t="shared" si="39"/>
        <v>3.5231462515362535E-2</v>
      </c>
      <c r="V244" s="14">
        <f t="shared" si="40"/>
        <v>0</v>
      </c>
      <c r="W244" s="26"/>
      <c r="X244" t="str">
        <f t="shared" si="41"/>
        <v>oberhalb</v>
      </c>
      <c r="Y244" s="31" t="str">
        <f t="shared" si="42"/>
        <v/>
      </c>
      <c r="Z244" t="str">
        <f>IFERROR(VLOOKUP(A244,Unternehmen!$A:$D,4,FALSE()),"")</f>
        <v>Technologie</v>
      </c>
    </row>
    <row r="245" spans="1:26" ht="15" customHeight="1" x14ac:dyDescent="0.35">
      <c r="A245" s="23" t="s">
        <v>109</v>
      </c>
      <c r="B245" s="23">
        <v>2021</v>
      </c>
      <c r="C245" s="23" t="s">
        <v>155</v>
      </c>
      <c r="D245" s="23" t="s">
        <v>501</v>
      </c>
      <c r="E245" s="23">
        <v>136</v>
      </c>
      <c r="F245" s="23" t="s">
        <v>137</v>
      </c>
      <c r="G245" s="23" t="s">
        <v>220</v>
      </c>
      <c r="H245" s="23" t="s">
        <v>226</v>
      </c>
      <c r="I245" s="25">
        <v>7.8</v>
      </c>
      <c r="J245" s="25">
        <v>8.1999999999999993</v>
      </c>
      <c r="K245" s="25">
        <f t="shared" si="45"/>
        <v>8.5030000000000001</v>
      </c>
      <c r="L245" s="25">
        <v>8.4079999999999995</v>
      </c>
      <c r="M245" s="25">
        <f t="shared" si="44"/>
        <v>-9.5000000000000639E-2</v>
      </c>
      <c r="N245" s="29" t="s">
        <v>218</v>
      </c>
      <c r="O245" s="23" t="s">
        <v>503</v>
      </c>
      <c r="P245" s="23">
        <v>70</v>
      </c>
      <c r="Q245" s="26"/>
      <c r="R245" s="31">
        <f t="shared" si="36"/>
        <v>8</v>
      </c>
      <c r="S245" s="31">
        <f t="shared" si="37"/>
        <v>-0.40799999999999947</v>
      </c>
      <c r="T245" s="13">
        <f t="shared" si="38"/>
        <v>-4.8525214081826772E-2</v>
      </c>
      <c r="U245" s="13">
        <f t="shared" si="39"/>
        <v>4.8525214081826772E-2</v>
      </c>
      <c r="V245" s="14">
        <f t="shared" si="40"/>
        <v>0</v>
      </c>
      <c r="W245" s="26"/>
      <c r="X245" t="str">
        <f t="shared" si="41"/>
        <v>oberhalb</v>
      </c>
      <c r="Y245" s="31" t="str">
        <f t="shared" si="42"/>
        <v/>
      </c>
      <c r="Z245" t="str">
        <f>IFERROR(VLOOKUP(A245,Unternehmen!$A:$D,4,FALSE()),"")</f>
        <v>Technologie</v>
      </c>
    </row>
    <row r="246" spans="1:26" ht="15" customHeight="1" x14ac:dyDescent="0.35">
      <c r="A246" s="23" t="s">
        <v>109</v>
      </c>
      <c r="B246" s="23">
        <v>2022</v>
      </c>
      <c r="C246" s="23" t="s">
        <v>15</v>
      </c>
      <c r="D246" s="23" t="s">
        <v>503</v>
      </c>
      <c r="E246" s="23">
        <v>60</v>
      </c>
      <c r="F246" s="23" t="s">
        <v>137</v>
      </c>
      <c r="G246" s="23" t="s">
        <v>220</v>
      </c>
      <c r="H246" s="23" t="s">
        <v>226</v>
      </c>
      <c r="I246" s="25">
        <v>25</v>
      </c>
      <c r="J246" s="25">
        <v>25.5</v>
      </c>
      <c r="K246" s="25">
        <f t="shared" si="45"/>
        <v>24.41</v>
      </c>
      <c r="L246" s="25">
        <v>25.018000000000001</v>
      </c>
      <c r="M246" s="25">
        <f t="shared" si="44"/>
        <v>0.60800000000000054</v>
      </c>
      <c r="N246" s="28" t="s">
        <v>208</v>
      </c>
      <c r="O246" s="23" t="s">
        <v>504</v>
      </c>
      <c r="P246" s="23">
        <v>63</v>
      </c>
      <c r="Q246" s="26"/>
      <c r="R246" s="31">
        <f t="shared" si="36"/>
        <v>25.25</v>
      </c>
      <c r="S246" s="31">
        <f t="shared" si="37"/>
        <v>0.23199999999999932</v>
      </c>
      <c r="T246" s="13">
        <f t="shared" si="38"/>
        <v>9.2733232072907228E-3</v>
      </c>
      <c r="U246" s="13">
        <f t="shared" si="39"/>
        <v>9.2733232072907228E-3</v>
      </c>
      <c r="V246" s="14">
        <f t="shared" si="40"/>
        <v>1</v>
      </c>
      <c r="W246" s="26"/>
      <c r="X246" t="str">
        <f t="shared" si="41"/>
        <v>innerhalb</v>
      </c>
      <c r="Y246" s="31" t="str">
        <f t="shared" si="42"/>
        <v/>
      </c>
      <c r="Z246" t="str">
        <f>IFERROR(VLOOKUP(A246,Unternehmen!$A:$D,4,FALSE()),"")</f>
        <v>Technologie</v>
      </c>
    </row>
    <row r="247" spans="1:26" ht="15" customHeight="1" x14ac:dyDescent="0.35">
      <c r="A247" s="23" t="s">
        <v>109</v>
      </c>
      <c r="B247" s="23">
        <v>2022</v>
      </c>
      <c r="C247" s="23" t="s">
        <v>155</v>
      </c>
      <c r="D247" s="23" t="s">
        <v>503</v>
      </c>
      <c r="E247" s="23">
        <v>60</v>
      </c>
      <c r="F247" s="23" t="s">
        <v>137</v>
      </c>
      <c r="G247" s="23" t="s">
        <v>220</v>
      </c>
      <c r="H247" s="23" t="s">
        <v>226</v>
      </c>
      <c r="I247" s="25">
        <v>7.8</v>
      </c>
      <c r="J247" s="25">
        <v>8.25</v>
      </c>
      <c r="K247" s="25">
        <f t="shared" si="45"/>
        <v>8.4079999999999995</v>
      </c>
      <c r="L247" s="25">
        <v>7.6829999999999998</v>
      </c>
      <c r="M247" s="25">
        <f t="shared" si="44"/>
        <v>-0.72499999999999964</v>
      </c>
      <c r="N247" s="23" t="s">
        <v>505</v>
      </c>
      <c r="O247" s="23" t="s">
        <v>504</v>
      </c>
      <c r="P247" s="23">
        <v>63</v>
      </c>
      <c r="Q247" s="26"/>
      <c r="R247" s="31">
        <f t="shared" si="36"/>
        <v>8.0250000000000004</v>
      </c>
      <c r="S247" s="31">
        <f t="shared" si="37"/>
        <v>0.34200000000000053</v>
      </c>
      <c r="T247" s="13">
        <f t="shared" si="38"/>
        <v>4.4513861772745092E-2</v>
      </c>
      <c r="U247" s="13">
        <f t="shared" si="39"/>
        <v>4.4513861772745092E-2</v>
      </c>
      <c r="V247" s="14">
        <f t="shared" si="40"/>
        <v>0</v>
      </c>
      <c r="W247" s="26"/>
      <c r="X247" t="str">
        <f t="shared" si="41"/>
        <v>unterhalb</v>
      </c>
      <c r="Y247" s="31" t="str">
        <f t="shared" si="42"/>
        <v/>
      </c>
      <c r="Z247" t="str">
        <f>IFERROR(VLOOKUP(A247,Unternehmen!$A:$D,4,FALSE()),"")</f>
        <v>Technologie</v>
      </c>
    </row>
    <row r="248" spans="1:26" ht="15" customHeight="1" x14ac:dyDescent="0.35">
      <c r="A248" s="23" t="s">
        <v>109</v>
      </c>
      <c r="B248" s="23">
        <v>2023</v>
      </c>
      <c r="C248" s="23" t="s">
        <v>15</v>
      </c>
      <c r="D248" s="23" t="s">
        <v>504</v>
      </c>
      <c r="E248" s="23">
        <v>63</v>
      </c>
      <c r="F248" s="23" t="s">
        <v>137</v>
      </c>
      <c r="G248" s="23" t="s">
        <v>220</v>
      </c>
      <c r="H248" s="23" t="s">
        <v>226</v>
      </c>
      <c r="I248" s="25">
        <v>28.2</v>
      </c>
      <c r="J248" s="25">
        <v>28.7</v>
      </c>
      <c r="K248" s="25">
        <f t="shared" si="45"/>
        <v>25.018000000000001</v>
      </c>
      <c r="L248" s="25">
        <v>27.640999999999998</v>
      </c>
      <c r="M248" s="25">
        <f t="shared" si="44"/>
        <v>2.6229999999999976</v>
      </c>
      <c r="N248" s="23" t="s">
        <v>506</v>
      </c>
      <c r="O248" s="23" t="s">
        <v>507</v>
      </c>
      <c r="P248" s="23">
        <v>71</v>
      </c>
      <c r="Q248" s="26"/>
      <c r="R248" s="31">
        <f t="shared" si="36"/>
        <v>28.45</v>
      </c>
      <c r="S248" s="31">
        <f t="shared" si="37"/>
        <v>0.80900000000000105</v>
      </c>
      <c r="T248" s="13">
        <f t="shared" si="38"/>
        <v>2.9268116204189468E-2</v>
      </c>
      <c r="U248" s="13">
        <f t="shared" si="39"/>
        <v>2.9268116204189468E-2</v>
      </c>
      <c r="V248" s="14">
        <f t="shared" si="40"/>
        <v>0</v>
      </c>
      <c r="W248" s="26"/>
      <c r="X248" t="str">
        <f t="shared" si="41"/>
        <v>unterhalb</v>
      </c>
      <c r="Y248" s="31" t="str">
        <f t="shared" si="42"/>
        <v/>
      </c>
      <c r="Z248" t="str">
        <f>IFERROR(VLOOKUP(A248,Unternehmen!$A:$D,4,FALSE()),"")</f>
        <v>Technologie</v>
      </c>
    </row>
    <row r="249" spans="1:26" ht="15" customHeight="1" x14ac:dyDescent="0.35">
      <c r="A249" s="23" t="s">
        <v>109</v>
      </c>
      <c r="B249" s="23">
        <v>2023</v>
      </c>
      <c r="C249" s="23" t="s">
        <v>155</v>
      </c>
      <c r="D249" s="23" t="s">
        <v>504</v>
      </c>
      <c r="E249" s="23">
        <v>63</v>
      </c>
      <c r="F249" s="23" t="s">
        <v>137</v>
      </c>
      <c r="G249" s="23" t="s">
        <v>220</v>
      </c>
      <c r="H249" s="23" t="s">
        <v>226</v>
      </c>
      <c r="I249" s="25">
        <v>8.8000000000000007</v>
      </c>
      <c r="J249" s="25">
        <v>9.1</v>
      </c>
      <c r="K249" s="25">
        <f t="shared" si="45"/>
        <v>7.6829999999999998</v>
      </c>
      <c r="L249" s="25">
        <v>9.0399999999999991</v>
      </c>
      <c r="M249" s="25">
        <f t="shared" si="44"/>
        <v>1.3569999999999993</v>
      </c>
      <c r="N249" s="29" t="s">
        <v>218</v>
      </c>
      <c r="O249" s="23" t="s">
        <v>507</v>
      </c>
      <c r="P249" s="23">
        <v>61</v>
      </c>
      <c r="Q249" s="26"/>
      <c r="R249" s="31">
        <f t="shared" si="36"/>
        <v>8.9499999999999993</v>
      </c>
      <c r="S249" s="31">
        <f t="shared" si="37"/>
        <v>-8.9999999999999858E-2</v>
      </c>
      <c r="T249" s="13">
        <f t="shared" si="38"/>
        <v>-9.9557522123893665E-3</v>
      </c>
      <c r="U249" s="13">
        <f t="shared" si="39"/>
        <v>9.9557522123893665E-3</v>
      </c>
      <c r="V249" s="14">
        <f t="shared" si="40"/>
        <v>1</v>
      </c>
      <c r="W249" s="26"/>
      <c r="X249" t="str">
        <f t="shared" si="41"/>
        <v>innerhalb</v>
      </c>
      <c r="Y249" s="31" t="str">
        <f t="shared" si="42"/>
        <v/>
      </c>
      <c r="Z249" t="str">
        <f>IFERROR(VLOOKUP(A249,Unternehmen!$A:$D,4,FALSE()),"")</f>
        <v>Technologie</v>
      </c>
    </row>
    <row r="250" spans="1:26" ht="15" customHeight="1" x14ac:dyDescent="0.35">
      <c r="A250" s="23" t="s">
        <v>109</v>
      </c>
      <c r="B250" s="23">
        <v>2024</v>
      </c>
      <c r="C250" s="23" t="s">
        <v>15</v>
      </c>
      <c r="D250" s="23" t="s">
        <v>507</v>
      </c>
      <c r="E250" s="23">
        <v>61</v>
      </c>
      <c r="F250" s="23" t="s">
        <v>137</v>
      </c>
      <c r="G250" s="23" t="s">
        <v>220</v>
      </c>
      <c r="H250" s="23" t="s">
        <v>226</v>
      </c>
      <c r="I250" s="25">
        <v>29</v>
      </c>
      <c r="J250" s="25">
        <v>29.5</v>
      </c>
      <c r="K250" s="25">
        <f t="shared" si="45"/>
        <v>27.640999999999998</v>
      </c>
      <c r="L250" s="25">
        <v>29.96</v>
      </c>
      <c r="M250" s="25">
        <f t="shared" si="44"/>
        <v>2.3190000000000026</v>
      </c>
      <c r="N250" s="29" t="s">
        <v>218</v>
      </c>
      <c r="O250" s="23" t="s">
        <v>508</v>
      </c>
      <c r="P250" s="23">
        <v>62</v>
      </c>
      <c r="Q250" s="26"/>
      <c r="R250" s="31">
        <f t="shared" si="36"/>
        <v>29.25</v>
      </c>
      <c r="S250" s="31">
        <f t="shared" si="37"/>
        <v>-0.71000000000000085</v>
      </c>
      <c r="T250" s="13">
        <f t="shared" si="38"/>
        <v>-2.3698264352469987E-2</v>
      </c>
      <c r="U250" s="13">
        <f t="shared" si="39"/>
        <v>2.3698264352469987E-2</v>
      </c>
      <c r="V250" s="14">
        <f t="shared" si="40"/>
        <v>0</v>
      </c>
      <c r="W250" s="26"/>
      <c r="X250" t="str">
        <f t="shared" si="41"/>
        <v>oberhalb</v>
      </c>
      <c r="Y250" s="31" t="str">
        <f t="shared" si="42"/>
        <v/>
      </c>
      <c r="Z250" t="str">
        <f>IFERROR(VLOOKUP(A250,Unternehmen!$A:$D,4,FALSE()),"")</f>
        <v>Technologie</v>
      </c>
    </row>
    <row r="251" spans="1:26" ht="15" customHeight="1" x14ac:dyDescent="0.35">
      <c r="A251" s="23" t="s">
        <v>109</v>
      </c>
      <c r="B251" s="23">
        <v>2024</v>
      </c>
      <c r="C251" s="23" t="s">
        <v>155</v>
      </c>
      <c r="D251" s="23" t="s">
        <v>507</v>
      </c>
      <c r="E251" s="23">
        <v>61</v>
      </c>
      <c r="F251" s="23" t="s">
        <v>137</v>
      </c>
      <c r="G251" s="23" t="s">
        <v>220</v>
      </c>
      <c r="H251" s="23" t="s">
        <v>226</v>
      </c>
      <c r="I251" s="25">
        <v>7.6</v>
      </c>
      <c r="J251" s="25">
        <v>7.9</v>
      </c>
      <c r="K251" s="25">
        <f t="shared" si="45"/>
        <v>9.0399999999999991</v>
      </c>
      <c r="L251" s="25">
        <v>8.23</v>
      </c>
      <c r="M251" s="25">
        <f t="shared" si="44"/>
        <v>-0.80999999999999872</v>
      </c>
      <c r="N251" s="29" t="s">
        <v>218</v>
      </c>
      <c r="O251" s="23" t="s">
        <v>508</v>
      </c>
      <c r="P251" s="23">
        <v>62</v>
      </c>
      <c r="Q251" s="26"/>
      <c r="R251" s="31">
        <f t="shared" si="36"/>
        <v>7.75</v>
      </c>
      <c r="S251" s="31">
        <f t="shared" si="37"/>
        <v>-0.48000000000000043</v>
      </c>
      <c r="T251" s="13">
        <f t="shared" si="38"/>
        <v>-5.832320777642775E-2</v>
      </c>
      <c r="U251" s="13">
        <f t="shared" si="39"/>
        <v>5.832320777642775E-2</v>
      </c>
      <c r="V251" s="14">
        <f t="shared" si="40"/>
        <v>0</v>
      </c>
      <c r="W251" s="26"/>
      <c r="X251" t="str">
        <f t="shared" si="41"/>
        <v>oberhalb</v>
      </c>
      <c r="Y251" s="31" t="str">
        <f t="shared" si="42"/>
        <v/>
      </c>
      <c r="Z251" t="str">
        <f>IFERROR(VLOOKUP(A251,Unternehmen!$A:$D,4,FALSE()),"")</f>
        <v>Technologie</v>
      </c>
    </row>
    <row r="252" spans="1:26" ht="15" customHeight="1" x14ac:dyDescent="0.35">
      <c r="A252" s="23" t="s">
        <v>114</v>
      </c>
      <c r="B252" s="23">
        <v>2020</v>
      </c>
      <c r="C252" s="23" t="s">
        <v>15</v>
      </c>
      <c r="D252" s="38" t="s">
        <v>509</v>
      </c>
      <c r="E252" s="23">
        <v>29</v>
      </c>
      <c r="F252" s="23" t="s">
        <v>133</v>
      </c>
      <c r="G252" s="23" t="s">
        <v>220</v>
      </c>
      <c r="H252" s="38" t="s">
        <v>221</v>
      </c>
      <c r="I252" s="30"/>
      <c r="J252" s="30"/>
      <c r="K252" s="25">
        <v>58483</v>
      </c>
      <c r="L252" s="25">
        <v>57139</v>
      </c>
      <c r="M252" s="25">
        <f t="shared" si="44"/>
        <v>-1344</v>
      </c>
      <c r="N252" s="23" t="s">
        <v>389</v>
      </c>
      <c r="O252" s="23" t="s">
        <v>510</v>
      </c>
      <c r="P252" s="23">
        <v>96</v>
      </c>
      <c r="Q252" s="26"/>
      <c r="R252" s="31" t="str">
        <f t="shared" si="36"/>
        <v/>
      </c>
      <c r="S252" s="31" t="str">
        <f t="shared" si="37"/>
        <v/>
      </c>
      <c r="T252" s="13" t="str">
        <f t="shared" si="38"/>
        <v/>
      </c>
      <c r="U252" s="13" t="str">
        <f t="shared" si="39"/>
        <v/>
      </c>
      <c r="V252" s="14" t="str">
        <f t="shared" si="40"/>
        <v/>
      </c>
      <c r="W252" s="26" t="s">
        <v>230</v>
      </c>
      <c r="X252" t="str">
        <f t="shared" si="41"/>
        <v>nicht auswertbar</v>
      </c>
      <c r="Y252" s="31" t="str">
        <f t="shared" si="42"/>
        <v/>
      </c>
      <c r="Z252" t="str">
        <f>IFERROR(VLOOKUP(A252,Unternehmen!$A:$D,4,FALSE()),"")</f>
        <v>Industrie</v>
      </c>
    </row>
    <row r="253" spans="1:26" ht="15" customHeight="1" x14ac:dyDescent="0.35">
      <c r="A253" s="23" t="s">
        <v>114</v>
      </c>
      <c r="B253" s="23">
        <v>2020</v>
      </c>
      <c r="C253" s="23" t="s">
        <v>155</v>
      </c>
      <c r="D253" s="38" t="s">
        <v>509</v>
      </c>
      <c r="E253" s="23">
        <v>28</v>
      </c>
      <c r="F253" s="23" t="s">
        <v>133</v>
      </c>
      <c r="G253" s="23" t="s">
        <v>203</v>
      </c>
      <c r="H253" s="23" t="s">
        <v>204</v>
      </c>
      <c r="I253" s="30"/>
      <c r="J253" s="30"/>
      <c r="K253" s="24">
        <v>0.14399999999999999</v>
      </c>
      <c r="L253" s="24">
        <v>0.14299999999999999</v>
      </c>
      <c r="M253" s="24" t="s">
        <v>420</v>
      </c>
      <c r="N253" s="35" t="s">
        <v>511</v>
      </c>
      <c r="O253" s="23" t="s">
        <v>510</v>
      </c>
      <c r="P253" s="23">
        <v>23</v>
      </c>
      <c r="Q253" s="26" t="s">
        <v>512</v>
      </c>
      <c r="R253" s="13" t="str">
        <f t="shared" si="36"/>
        <v/>
      </c>
      <c r="S253" s="13" t="str">
        <f t="shared" si="37"/>
        <v/>
      </c>
      <c r="T253" s="13" t="str">
        <f t="shared" si="38"/>
        <v/>
      </c>
      <c r="U253" s="13" t="str">
        <f t="shared" si="39"/>
        <v/>
      </c>
      <c r="V253" s="14" t="str">
        <f t="shared" si="40"/>
        <v/>
      </c>
      <c r="W253" s="26"/>
      <c r="X253" t="str">
        <f t="shared" si="41"/>
        <v>nicht auswertbar</v>
      </c>
      <c r="Y253" s="13" t="str">
        <f t="shared" si="42"/>
        <v/>
      </c>
      <c r="Z253" t="str">
        <f>IFERROR(VLOOKUP(A253,Unternehmen!$A:$D,4,FALSE()),"")</f>
        <v>Industrie</v>
      </c>
    </row>
    <row r="254" spans="1:26" ht="15" customHeight="1" x14ac:dyDescent="0.35">
      <c r="A254" s="23" t="s">
        <v>114</v>
      </c>
      <c r="B254" s="23">
        <v>2021</v>
      </c>
      <c r="C254" s="23" t="s">
        <v>15</v>
      </c>
      <c r="D254" s="23" t="s">
        <v>510</v>
      </c>
      <c r="E254" s="23">
        <v>36</v>
      </c>
      <c r="F254" s="23" t="s">
        <v>133</v>
      </c>
      <c r="G254" s="23" t="s">
        <v>220</v>
      </c>
      <c r="H254" s="38" t="s">
        <v>221</v>
      </c>
      <c r="I254" s="30"/>
      <c r="J254" s="30"/>
      <c r="K254" s="25">
        <f>L252</f>
        <v>57139</v>
      </c>
      <c r="L254" s="25">
        <v>62265</v>
      </c>
      <c r="M254" s="25">
        <f>L254-K254</f>
        <v>5126</v>
      </c>
      <c r="N254" s="28" t="s">
        <v>208</v>
      </c>
      <c r="O254" s="23" t="s">
        <v>513</v>
      </c>
      <c r="P254" s="23" t="s">
        <v>514</v>
      </c>
      <c r="Q254" s="26"/>
      <c r="R254" s="31" t="str">
        <f t="shared" si="36"/>
        <v/>
      </c>
      <c r="S254" s="31" t="str">
        <f t="shared" si="37"/>
        <v/>
      </c>
      <c r="T254" s="13" t="str">
        <f t="shared" si="38"/>
        <v/>
      </c>
      <c r="U254" s="13" t="str">
        <f t="shared" si="39"/>
        <v/>
      </c>
      <c r="V254" s="14" t="str">
        <f t="shared" si="40"/>
        <v/>
      </c>
      <c r="W254" s="26" t="s">
        <v>230</v>
      </c>
      <c r="X254" t="str">
        <f t="shared" si="41"/>
        <v>nicht auswertbar</v>
      </c>
      <c r="Y254" s="31" t="str">
        <f t="shared" si="42"/>
        <v/>
      </c>
      <c r="Z254" t="str">
        <f>IFERROR(VLOOKUP(A254,Unternehmen!$A:$D,4,FALSE()),"")</f>
        <v>Industrie</v>
      </c>
    </row>
    <row r="255" spans="1:26" ht="15" customHeight="1" x14ac:dyDescent="0.35">
      <c r="A255" s="23" t="s">
        <v>114</v>
      </c>
      <c r="B255" s="23">
        <v>2021</v>
      </c>
      <c r="C255" s="23" t="s">
        <v>155</v>
      </c>
      <c r="D255" s="23" t="s">
        <v>510</v>
      </c>
      <c r="E255" s="23">
        <v>35</v>
      </c>
      <c r="F255" s="23" t="s">
        <v>133</v>
      </c>
      <c r="G255" s="23" t="s">
        <v>203</v>
      </c>
      <c r="H255" s="23" t="s">
        <v>204</v>
      </c>
      <c r="I255" s="30"/>
      <c r="J255" s="30"/>
      <c r="K255" s="24">
        <f>L253</f>
        <v>0.14299999999999999</v>
      </c>
      <c r="L255" s="24">
        <v>0.15</v>
      </c>
      <c r="M255" s="24" t="s">
        <v>309</v>
      </c>
      <c r="N255" s="42" t="s">
        <v>343</v>
      </c>
      <c r="O255" s="23" t="s">
        <v>513</v>
      </c>
      <c r="P255" s="23" t="s">
        <v>515</v>
      </c>
      <c r="Q255" s="26"/>
      <c r="R255" s="13" t="str">
        <f t="shared" si="36"/>
        <v/>
      </c>
      <c r="S255" s="13" t="str">
        <f t="shared" si="37"/>
        <v/>
      </c>
      <c r="T255" s="13" t="str">
        <f t="shared" si="38"/>
        <v/>
      </c>
      <c r="U255" s="13" t="str">
        <f t="shared" si="39"/>
        <v/>
      </c>
      <c r="V255" s="14" t="str">
        <f t="shared" si="40"/>
        <v/>
      </c>
      <c r="W255" s="26" t="s">
        <v>516</v>
      </c>
      <c r="X255" t="str">
        <f t="shared" si="41"/>
        <v>nicht auswertbar</v>
      </c>
      <c r="Y255" s="13" t="str">
        <f t="shared" si="42"/>
        <v/>
      </c>
      <c r="Z255" t="str">
        <f>IFERROR(VLOOKUP(A255,Unternehmen!$A:$D,4,FALSE()),"")</f>
        <v>Industrie</v>
      </c>
    </row>
    <row r="256" spans="1:26" ht="15" customHeight="1" x14ac:dyDescent="0.35">
      <c r="A256" s="23" t="s">
        <v>114</v>
      </c>
      <c r="B256" s="23">
        <v>2022</v>
      </c>
      <c r="C256" s="23" t="s">
        <v>15</v>
      </c>
      <c r="D256" s="23" t="s">
        <v>513</v>
      </c>
      <c r="E256" s="23" t="s">
        <v>517</v>
      </c>
      <c r="F256" s="23" t="s">
        <v>140</v>
      </c>
      <c r="G256" s="23" t="s">
        <v>199</v>
      </c>
      <c r="H256" s="23" t="s">
        <v>200</v>
      </c>
      <c r="I256" s="24">
        <v>0.04</v>
      </c>
      <c r="J256" s="24">
        <v>0.06</v>
      </c>
      <c r="K256" s="34"/>
      <c r="L256" s="24">
        <v>8.2000000000000003E-2</v>
      </c>
      <c r="M256" s="34"/>
      <c r="N256" s="29" t="s">
        <v>218</v>
      </c>
      <c r="O256" s="23" t="s">
        <v>518</v>
      </c>
      <c r="P256" s="23" t="s">
        <v>519</v>
      </c>
      <c r="Q256" s="26"/>
      <c r="R256" s="13">
        <f t="shared" si="36"/>
        <v>0.05</v>
      </c>
      <c r="S256" s="13">
        <f t="shared" si="37"/>
        <v>-3.2000000000000001E-2</v>
      </c>
      <c r="T256" s="13" t="str">
        <f t="shared" si="38"/>
        <v/>
      </c>
      <c r="U256" s="13" t="str">
        <f t="shared" si="39"/>
        <v/>
      </c>
      <c r="V256" s="14">
        <f t="shared" si="40"/>
        <v>0</v>
      </c>
      <c r="W256" s="26"/>
      <c r="X256" t="str">
        <f t="shared" si="41"/>
        <v>oberhalb</v>
      </c>
      <c r="Y256" s="13">
        <f t="shared" si="42"/>
        <v>3.2000000000000001E-2</v>
      </c>
      <c r="Z256" t="str">
        <f>IFERROR(VLOOKUP(A256,Unternehmen!$A:$D,4,FALSE()),"")</f>
        <v>Industrie</v>
      </c>
    </row>
    <row r="257" spans="1:26" ht="15" customHeight="1" x14ac:dyDescent="0.35">
      <c r="A257" s="23" t="s">
        <v>114</v>
      </c>
      <c r="B257" s="23">
        <v>2022</v>
      </c>
      <c r="C257" s="23" t="s">
        <v>155</v>
      </c>
      <c r="D257" s="23" t="s">
        <v>513</v>
      </c>
      <c r="E257" s="23" t="s">
        <v>520</v>
      </c>
      <c r="F257" s="23" t="s">
        <v>137</v>
      </c>
      <c r="G257" s="23" t="s">
        <v>220</v>
      </c>
      <c r="H257" s="23" t="s">
        <v>521</v>
      </c>
      <c r="I257" s="25">
        <v>8.6999999999999993</v>
      </c>
      <c r="J257" s="25">
        <v>9.1</v>
      </c>
      <c r="K257" s="25">
        <v>8.32</v>
      </c>
      <c r="L257" s="25">
        <v>5.47</v>
      </c>
      <c r="M257" s="25">
        <f>L257-K257</f>
        <v>-2.8500000000000005</v>
      </c>
      <c r="N257" s="25" t="s">
        <v>522</v>
      </c>
      <c r="O257" s="23" t="s">
        <v>518</v>
      </c>
      <c r="P257" s="23" t="s">
        <v>523</v>
      </c>
      <c r="Q257" s="26" t="s">
        <v>524</v>
      </c>
      <c r="R257" s="31">
        <f t="shared" si="36"/>
        <v>8.8999999999999986</v>
      </c>
      <c r="S257" s="31">
        <f t="shared" si="37"/>
        <v>3.4299999999999988</v>
      </c>
      <c r="T257" s="13">
        <f t="shared" si="38"/>
        <v>0.62705667276051169</v>
      </c>
      <c r="U257" s="13">
        <f t="shared" si="39"/>
        <v>0.62705667276051169</v>
      </c>
      <c r="V257" s="14">
        <f t="shared" si="40"/>
        <v>0</v>
      </c>
      <c r="W257" s="26"/>
      <c r="X257" t="str">
        <f t="shared" si="41"/>
        <v>unterhalb</v>
      </c>
      <c r="Y257" s="31" t="str">
        <f t="shared" si="42"/>
        <v/>
      </c>
      <c r="Z257" t="str">
        <f>IFERROR(VLOOKUP(A257,Unternehmen!$A:$D,4,FALSE()),"")</f>
        <v>Industrie</v>
      </c>
    </row>
    <row r="258" spans="1:26" ht="15" customHeight="1" x14ac:dyDescent="0.35">
      <c r="A258" s="23" t="s">
        <v>114</v>
      </c>
      <c r="B258" s="23">
        <v>2023</v>
      </c>
      <c r="C258" s="23" t="s">
        <v>15</v>
      </c>
      <c r="D258" s="23" t="s">
        <v>518</v>
      </c>
      <c r="E258" s="23" t="s">
        <v>525</v>
      </c>
      <c r="F258" s="23" t="s">
        <v>137</v>
      </c>
      <c r="G258" s="23" t="s">
        <v>199</v>
      </c>
      <c r="H258" s="23" t="s">
        <v>200</v>
      </c>
      <c r="I258" s="24">
        <v>0.06</v>
      </c>
      <c r="J258" s="24">
        <v>0.09</v>
      </c>
      <c r="K258" s="24">
        <f>L256</f>
        <v>8.2000000000000003E-2</v>
      </c>
      <c r="L258" s="24">
        <v>0.11</v>
      </c>
      <c r="M258" s="24" t="s">
        <v>526</v>
      </c>
      <c r="N258" s="29" t="s">
        <v>218</v>
      </c>
      <c r="O258" s="23" t="s">
        <v>527</v>
      </c>
      <c r="P258" s="23" t="s">
        <v>519</v>
      </c>
      <c r="Q258" s="26"/>
      <c r="R258" s="13">
        <f t="shared" ref="R258:R281" si="46">IF(NOT(ISNUMBER(I258)),"",IF(F258="Mindestprognose",I258,IF(ISNUMBER(J258),(I258+J258)/2,I258)))</f>
        <v>7.4999999999999997E-2</v>
      </c>
      <c r="S258" s="13">
        <f t="shared" ref="S258:S281" si="47">IF(OR(R258="",NOT(ISNUMBER(L258))),"",R258-L258)</f>
        <v>-3.5000000000000003E-2</v>
      </c>
      <c r="T258" s="13" t="str">
        <f t="shared" ref="T258:T281" si="48">IF(OR(S258="",G258&lt;&gt;"absolut",NOT(ISNUMBER(L258)),L258=0),"",S258/ABS(L258))</f>
        <v/>
      </c>
      <c r="U258" s="13" t="str">
        <f t="shared" ref="U258:U281" si="49">IF(T258="","",ABS(T258))</f>
        <v/>
      </c>
      <c r="V258" s="14">
        <f t="shared" ref="V258:V281" si="50">IF(OR(F258="Punkt",NOT(ISNUMBER(L258))),"",IF(F258="Mindestprognose",IF(L258&gt;=I258,1,0),IF(AND(ISNUMBER(I258),ISNUMBER(J258),I258&lt;&gt;J258),IF(AND(L258&gt;=I258,L258&lt;=J258),1,0),"")))</f>
        <v>0</v>
      </c>
      <c r="W258" s="26"/>
      <c r="X258" t="str">
        <f t="shared" ref="X258:X281" si="51">IF(OR(F258="qualitativ",F258="fehlend",NOT(ISNUMBER(L258))),"nicht auswertbar",IF(F258="Punkt","Punktprognose",IF(AND(ISNUMBER(I258),ISNUMBER(J258)),IF(L258&lt;I258,"unterhalb",IF(L258&gt;J258,"oberhalb","innerhalb")),"nicht auswertbar")))</f>
        <v>oberhalb</v>
      </c>
      <c r="Y258" s="13">
        <f t="shared" ref="Y258:Y281" si="52">IF(AND(ISNUMBER(S258),OR(G258="Marge %",G258="Wachstumsrate %")),ABS(S258),"")</f>
        <v>3.5000000000000003E-2</v>
      </c>
      <c r="Z258" t="str">
        <f>IFERROR(VLOOKUP(A258,Unternehmen!$A:$D,4,FALSE()),"")</f>
        <v>Industrie</v>
      </c>
    </row>
    <row r="259" spans="1:26" ht="15" customHeight="1" x14ac:dyDescent="0.35">
      <c r="A259" s="23" t="s">
        <v>114</v>
      </c>
      <c r="B259" s="23">
        <v>2023</v>
      </c>
      <c r="C259" s="23" t="s">
        <v>155</v>
      </c>
      <c r="D259" s="23" t="s">
        <v>518</v>
      </c>
      <c r="E259" s="23" t="s">
        <v>525</v>
      </c>
      <c r="F259" s="23" t="s">
        <v>137</v>
      </c>
      <c r="G259" s="23" t="s">
        <v>220</v>
      </c>
      <c r="H259" s="23" t="s">
        <v>521</v>
      </c>
      <c r="I259" s="25">
        <v>8.6999999999999993</v>
      </c>
      <c r="J259" s="25">
        <v>9.1999999999999993</v>
      </c>
      <c r="K259" s="25">
        <f>L257</f>
        <v>5.47</v>
      </c>
      <c r="L259" s="25">
        <v>9.93</v>
      </c>
      <c r="M259" s="25">
        <f>L259-K259</f>
        <v>4.46</v>
      </c>
      <c r="N259" s="29" t="s">
        <v>218</v>
      </c>
      <c r="O259" s="23" t="s">
        <v>527</v>
      </c>
      <c r="P259" s="23" t="s">
        <v>519</v>
      </c>
      <c r="Q259" s="26" t="s">
        <v>528</v>
      </c>
      <c r="R259" s="31">
        <f t="shared" si="46"/>
        <v>8.9499999999999993</v>
      </c>
      <c r="S259" s="31">
        <f t="shared" si="47"/>
        <v>-0.98000000000000043</v>
      </c>
      <c r="T259" s="13">
        <f t="shared" si="48"/>
        <v>-9.869083585095674E-2</v>
      </c>
      <c r="U259" s="13">
        <f t="shared" si="49"/>
        <v>9.869083585095674E-2</v>
      </c>
      <c r="V259" s="14">
        <f t="shared" si="50"/>
        <v>0</v>
      </c>
      <c r="W259" s="26"/>
      <c r="X259" t="str">
        <f t="shared" si="51"/>
        <v>oberhalb</v>
      </c>
      <c r="Y259" s="31" t="str">
        <f t="shared" si="52"/>
        <v/>
      </c>
      <c r="Z259" t="str">
        <f>IFERROR(VLOOKUP(A259,Unternehmen!$A:$D,4,FALSE()),"")</f>
        <v>Industrie</v>
      </c>
    </row>
    <row r="260" spans="1:26" ht="15" customHeight="1" x14ac:dyDescent="0.35">
      <c r="A260" s="23" t="s">
        <v>114</v>
      </c>
      <c r="B260" s="23">
        <v>2024</v>
      </c>
      <c r="C260" s="23" t="s">
        <v>15</v>
      </c>
      <c r="D260" s="23" t="s">
        <v>527</v>
      </c>
      <c r="E260" s="23" t="s">
        <v>529</v>
      </c>
      <c r="F260" s="23" t="s">
        <v>137</v>
      </c>
      <c r="G260" s="23" t="s">
        <v>199</v>
      </c>
      <c r="H260" s="23" t="s">
        <v>200</v>
      </c>
      <c r="I260" s="24">
        <v>0.04</v>
      </c>
      <c r="J260" s="24">
        <v>0.08</v>
      </c>
      <c r="K260" s="24">
        <f>L258</f>
        <v>0.11</v>
      </c>
      <c r="L260" s="24">
        <v>0.03</v>
      </c>
      <c r="M260" s="24" t="s">
        <v>530</v>
      </c>
      <c r="N260" s="23" t="s">
        <v>531</v>
      </c>
      <c r="O260" s="23" t="s">
        <v>532</v>
      </c>
      <c r="P260" s="23" t="s">
        <v>533</v>
      </c>
      <c r="Q260" s="26"/>
      <c r="R260" s="13">
        <f t="shared" si="46"/>
        <v>0.06</v>
      </c>
      <c r="S260" s="13">
        <f t="shared" si="47"/>
        <v>0.03</v>
      </c>
      <c r="T260" s="13" t="str">
        <f t="shared" si="48"/>
        <v/>
      </c>
      <c r="U260" s="13" t="str">
        <f t="shared" si="49"/>
        <v/>
      </c>
      <c r="V260" s="14">
        <f t="shared" si="50"/>
        <v>0</v>
      </c>
      <c r="W260" s="26"/>
      <c r="X260" t="str">
        <f t="shared" si="51"/>
        <v>unterhalb</v>
      </c>
      <c r="Y260" s="13">
        <f t="shared" si="52"/>
        <v>0.03</v>
      </c>
      <c r="Z260" t="str">
        <f>IFERROR(VLOOKUP(A260,Unternehmen!$A:$D,4,FALSE()),"")</f>
        <v>Industrie</v>
      </c>
    </row>
    <row r="261" spans="1:26" ht="15" customHeight="1" x14ac:dyDescent="0.35">
      <c r="A261" s="23" t="s">
        <v>114</v>
      </c>
      <c r="B261" s="23">
        <v>2024</v>
      </c>
      <c r="C261" s="23" t="s">
        <v>155</v>
      </c>
      <c r="D261" s="23" t="s">
        <v>527</v>
      </c>
      <c r="E261" s="23" t="s">
        <v>529</v>
      </c>
      <c r="F261" s="23" t="s">
        <v>137</v>
      </c>
      <c r="G261" s="23" t="s">
        <v>220</v>
      </c>
      <c r="H261" s="23" t="s">
        <v>521</v>
      </c>
      <c r="I261" s="25">
        <v>10.4</v>
      </c>
      <c r="J261" s="25">
        <v>11</v>
      </c>
      <c r="K261" s="25">
        <v>10.77</v>
      </c>
      <c r="L261" s="25">
        <v>10.54</v>
      </c>
      <c r="M261" s="25">
        <f>L261-K261</f>
        <v>-0.23000000000000043</v>
      </c>
      <c r="N261" s="28" t="s">
        <v>208</v>
      </c>
      <c r="O261" s="23" t="s">
        <v>532</v>
      </c>
      <c r="P261" s="23" t="s">
        <v>533</v>
      </c>
      <c r="Q261" s="26" t="s">
        <v>534</v>
      </c>
      <c r="R261" s="31">
        <f t="shared" si="46"/>
        <v>10.7</v>
      </c>
      <c r="S261" s="31">
        <f t="shared" si="47"/>
        <v>0.16000000000000014</v>
      </c>
      <c r="T261" s="13">
        <f t="shared" si="48"/>
        <v>1.5180265654648971E-2</v>
      </c>
      <c r="U261" s="13">
        <f t="shared" si="49"/>
        <v>1.5180265654648971E-2</v>
      </c>
      <c r="V261" s="14">
        <f t="shared" si="50"/>
        <v>1</v>
      </c>
      <c r="W261" s="26"/>
      <c r="X261" t="str">
        <f t="shared" si="51"/>
        <v>innerhalb</v>
      </c>
      <c r="Y261" s="31" t="str">
        <f t="shared" si="52"/>
        <v/>
      </c>
      <c r="Z261" t="str">
        <f>IFERROR(VLOOKUP(A261,Unternehmen!$A:$D,4,FALSE()),"")</f>
        <v>Industrie</v>
      </c>
    </row>
    <row r="262" spans="1:26" ht="15" customHeight="1" x14ac:dyDescent="0.35">
      <c r="A262" s="23" t="s">
        <v>118</v>
      </c>
      <c r="B262" s="23">
        <v>2020</v>
      </c>
      <c r="C262" s="23" t="s">
        <v>15</v>
      </c>
      <c r="D262" s="23" t="s">
        <v>535</v>
      </c>
      <c r="E262" s="23">
        <v>163</v>
      </c>
      <c r="F262" s="23" t="s">
        <v>140</v>
      </c>
      <c r="G262" s="23" t="s">
        <v>220</v>
      </c>
      <c r="H262" s="38" t="s">
        <v>221</v>
      </c>
      <c r="I262" s="30"/>
      <c r="J262" s="30"/>
      <c r="K262" s="25">
        <v>252632</v>
      </c>
      <c r="L262" s="25">
        <v>222884</v>
      </c>
      <c r="M262" s="25">
        <f>L262-K262</f>
        <v>-29748</v>
      </c>
      <c r="N262" s="23" t="s">
        <v>389</v>
      </c>
      <c r="O262" s="23" t="s">
        <v>536</v>
      </c>
      <c r="P262" s="23">
        <v>207</v>
      </c>
      <c r="Q262" s="26"/>
      <c r="R262" s="31" t="str">
        <f t="shared" si="46"/>
        <v/>
      </c>
      <c r="S262" s="31" t="str">
        <f t="shared" si="47"/>
        <v/>
      </c>
      <c r="T262" s="13" t="str">
        <f t="shared" si="48"/>
        <v/>
      </c>
      <c r="U262" s="13" t="str">
        <f t="shared" si="49"/>
        <v/>
      </c>
      <c r="V262" s="14" t="str">
        <f t="shared" si="50"/>
        <v/>
      </c>
      <c r="W262" s="26" t="s">
        <v>537</v>
      </c>
      <c r="X262" t="str">
        <f t="shared" si="51"/>
        <v>nicht auswertbar</v>
      </c>
      <c r="Y262" s="31" t="str">
        <f t="shared" si="52"/>
        <v/>
      </c>
      <c r="Z262" t="str">
        <f>IFERROR(VLOOKUP(A262,Unternehmen!$A:$D,4,FALSE()),"")</f>
        <v>Automobile</v>
      </c>
    </row>
    <row r="263" spans="1:26" ht="15" customHeight="1" x14ac:dyDescent="0.35">
      <c r="A263" s="23" t="s">
        <v>118</v>
      </c>
      <c r="B263" s="23">
        <v>2020</v>
      </c>
      <c r="C263" s="23" t="s">
        <v>155</v>
      </c>
      <c r="D263" s="23" t="s">
        <v>535</v>
      </c>
      <c r="E263" s="23">
        <v>163</v>
      </c>
      <c r="F263" s="23" t="s">
        <v>137</v>
      </c>
      <c r="G263" s="23" t="s">
        <v>203</v>
      </c>
      <c r="H263" s="23" t="s">
        <v>204</v>
      </c>
      <c r="I263" s="24">
        <v>6.5000000000000002E-2</v>
      </c>
      <c r="J263" s="24">
        <v>7.4999999999999997E-2</v>
      </c>
      <c r="K263" s="24">
        <v>6.7000000000000004E-2</v>
      </c>
      <c r="L263" s="24">
        <v>4.2999999999999997E-2</v>
      </c>
      <c r="M263" s="24" t="s">
        <v>257</v>
      </c>
      <c r="N263" s="27" t="s">
        <v>269</v>
      </c>
      <c r="O263" s="23" t="s">
        <v>536</v>
      </c>
      <c r="P263" s="23">
        <v>365</v>
      </c>
      <c r="Q263" s="26"/>
      <c r="R263" s="13">
        <f t="shared" si="46"/>
        <v>7.0000000000000007E-2</v>
      </c>
      <c r="S263" s="13">
        <f t="shared" si="47"/>
        <v>2.700000000000001E-2</v>
      </c>
      <c r="T263" s="13" t="str">
        <f t="shared" si="48"/>
        <v/>
      </c>
      <c r="U263" s="13" t="str">
        <f t="shared" si="49"/>
        <v/>
      </c>
      <c r="V263" s="14">
        <f t="shared" si="50"/>
        <v>0</v>
      </c>
      <c r="W263" s="26"/>
      <c r="X263" t="str">
        <f t="shared" si="51"/>
        <v>unterhalb</v>
      </c>
      <c r="Y263" s="13">
        <f t="shared" si="52"/>
        <v>2.700000000000001E-2</v>
      </c>
      <c r="Z263" t="str">
        <f>IFERROR(VLOOKUP(A263,Unternehmen!$A:$D,4,FALSE()),"")</f>
        <v>Automobile</v>
      </c>
    </row>
    <row r="264" spans="1:26" ht="15" customHeight="1" x14ac:dyDescent="0.35">
      <c r="A264" s="23" t="s">
        <v>118</v>
      </c>
      <c r="B264" s="23">
        <v>2021</v>
      </c>
      <c r="C264" s="23" t="s">
        <v>15</v>
      </c>
      <c r="D264" s="23" t="s">
        <v>536</v>
      </c>
      <c r="E264" s="23">
        <v>172</v>
      </c>
      <c r="F264" s="23" t="s">
        <v>133</v>
      </c>
      <c r="G264" s="23" t="s">
        <v>220</v>
      </c>
      <c r="H264" s="38" t="s">
        <v>221</v>
      </c>
      <c r="I264" s="30"/>
      <c r="J264" s="30"/>
      <c r="K264" s="25">
        <f>L262</f>
        <v>222884</v>
      </c>
      <c r="L264" s="25">
        <v>250200</v>
      </c>
      <c r="M264" s="25">
        <f>L264-K264</f>
        <v>27316</v>
      </c>
      <c r="N264" s="28" t="s">
        <v>208</v>
      </c>
      <c r="O264" s="23" t="s">
        <v>538</v>
      </c>
      <c r="P264" s="23">
        <v>219</v>
      </c>
      <c r="Q264" s="26"/>
      <c r="R264" s="31" t="str">
        <f t="shared" si="46"/>
        <v/>
      </c>
      <c r="S264" s="31" t="str">
        <f t="shared" si="47"/>
        <v/>
      </c>
      <c r="T264" s="13" t="str">
        <f t="shared" si="48"/>
        <v/>
      </c>
      <c r="U264" s="13" t="str">
        <f t="shared" si="49"/>
        <v/>
      </c>
      <c r="V264" s="14" t="str">
        <f t="shared" si="50"/>
        <v/>
      </c>
      <c r="W264" s="26" t="s">
        <v>539</v>
      </c>
      <c r="X264" t="str">
        <f t="shared" si="51"/>
        <v>nicht auswertbar</v>
      </c>
      <c r="Y264" s="31" t="str">
        <f t="shared" si="52"/>
        <v/>
      </c>
      <c r="Z264" t="str">
        <f>IFERROR(VLOOKUP(A264,Unternehmen!$A:$D,4,FALSE()),"")</f>
        <v>Automobile</v>
      </c>
    </row>
    <row r="265" spans="1:26" ht="15" customHeight="1" x14ac:dyDescent="0.35">
      <c r="A265" s="23" t="s">
        <v>118</v>
      </c>
      <c r="B265" s="23">
        <v>2021</v>
      </c>
      <c r="C265" s="23" t="s">
        <v>155</v>
      </c>
      <c r="D265" s="23" t="s">
        <v>536</v>
      </c>
      <c r="E265" s="23">
        <v>172</v>
      </c>
      <c r="F265" s="23" t="s">
        <v>137</v>
      </c>
      <c r="G265" s="23" t="s">
        <v>203</v>
      </c>
      <c r="H265" s="23" t="s">
        <v>204</v>
      </c>
      <c r="I265" s="24">
        <v>0.05</v>
      </c>
      <c r="J265" s="24">
        <v>6.5000000000000002E-2</v>
      </c>
      <c r="K265" s="24">
        <f>L263</f>
        <v>4.2999999999999997E-2</v>
      </c>
      <c r="L265" s="24">
        <v>7.6999999999999999E-2</v>
      </c>
      <c r="M265" s="24" t="s">
        <v>540</v>
      </c>
      <c r="N265" s="29" t="s">
        <v>218</v>
      </c>
      <c r="O265" s="23" t="s">
        <v>538</v>
      </c>
      <c r="P265" s="23">
        <v>392</v>
      </c>
      <c r="Q265" s="26"/>
      <c r="R265" s="13">
        <f t="shared" si="46"/>
        <v>5.7500000000000002E-2</v>
      </c>
      <c r="S265" s="13">
        <f t="shared" si="47"/>
        <v>-1.9499999999999997E-2</v>
      </c>
      <c r="T265" s="13" t="str">
        <f t="shared" si="48"/>
        <v/>
      </c>
      <c r="U265" s="13" t="str">
        <f t="shared" si="49"/>
        <v/>
      </c>
      <c r="V265" s="14">
        <f t="shared" si="50"/>
        <v>0</v>
      </c>
      <c r="W265" s="26"/>
      <c r="X265" t="str">
        <f t="shared" si="51"/>
        <v>oberhalb</v>
      </c>
      <c r="Y265" s="13">
        <f t="shared" si="52"/>
        <v>1.9499999999999997E-2</v>
      </c>
      <c r="Z265" t="str">
        <f>IFERROR(VLOOKUP(A265,Unternehmen!$A:$D,4,FALSE()),"")</f>
        <v>Automobile</v>
      </c>
    </row>
    <row r="266" spans="1:26" ht="15" customHeight="1" x14ac:dyDescent="0.35">
      <c r="A266" s="23" t="s">
        <v>118</v>
      </c>
      <c r="B266" s="23">
        <v>2022</v>
      </c>
      <c r="C266" s="23" t="s">
        <v>15</v>
      </c>
      <c r="D266" s="23" t="s">
        <v>538</v>
      </c>
      <c r="E266" s="23">
        <v>183</v>
      </c>
      <c r="F266" s="23" t="s">
        <v>140</v>
      </c>
      <c r="G266" s="23" t="s">
        <v>220</v>
      </c>
      <c r="H266" s="38" t="s">
        <v>221</v>
      </c>
      <c r="I266" s="30"/>
      <c r="J266" s="30"/>
      <c r="K266" s="25">
        <f>L264</f>
        <v>250200</v>
      </c>
      <c r="L266" s="25">
        <v>279232</v>
      </c>
      <c r="M266" s="25">
        <f>L266-K266</f>
        <v>29032</v>
      </c>
      <c r="N266" s="28" t="s">
        <v>208</v>
      </c>
      <c r="O266" s="23" t="s">
        <v>541</v>
      </c>
      <c r="P266" s="23">
        <v>277</v>
      </c>
      <c r="Q266" s="26"/>
      <c r="R266" s="31" t="str">
        <f t="shared" si="46"/>
        <v/>
      </c>
      <c r="S266" s="31" t="str">
        <f t="shared" si="47"/>
        <v/>
      </c>
      <c r="T266" s="13" t="str">
        <f t="shared" si="48"/>
        <v/>
      </c>
      <c r="U266" s="13" t="str">
        <f t="shared" si="49"/>
        <v/>
      </c>
      <c r="V266" s="14" t="str">
        <f t="shared" si="50"/>
        <v/>
      </c>
      <c r="W266" s="26" t="s">
        <v>542</v>
      </c>
      <c r="X266" t="str">
        <f t="shared" si="51"/>
        <v>nicht auswertbar</v>
      </c>
      <c r="Y266" s="31" t="str">
        <f t="shared" si="52"/>
        <v/>
      </c>
      <c r="Z266" t="str">
        <f>IFERROR(VLOOKUP(A266,Unternehmen!$A:$D,4,FALSE()),"")</f>
        <v>Automobile</v>
      </c>
    </row>
    <row r="267" spans="1:26" ht="15" customHeight="1" x14ac:dyDescent="0.35">
      <c r="A267" s="23" t="s">
        <v>118</v>
      </c>
      <c r="B267" s="23">
        <v>2022</v>
      </c>
      <c r="C267" s="23" t="s">
        <v>155</v>
      </c>
      <c r="D267" s="23" t="s">
        <v>538</v>
      </c>
      <c r="E267" s="23">
        <v>183</v>
      </c>
      <c r="F267" s="23" t="s">
        <v>137</v>
      </c>
      <c r="G267" s="23" t="s">
        <v>203</v>
      </c>
      <c r="H267" s="23" t="s">
        <v>204</v>
      </c>
      <c r="I267" s="24">
        <v>7.0000000000000007E-2</v>
      </c>
      <c r="J267" s="24">
        <v>8.5000000000000006E-2</v>
      </c>
      <c r="K267" s="24">
        <f>L265</f>
        <v>7.6999999999999999E-2</v>
      </c>
      <c r="L267" s="24">
        <v>7.9000000000000001E-2</v>
      </c>
      <c r="M267" s="24" t="s">
        <v>277</v>
      </c>
      <c r="N267" s="28" t="s">
        <v>208</v>
      </c>
      <c r="O267" s="23" t="s">
        <v>541</v>
      </c>
      <c r="P267" s="23">
        <v>486</v>
      </c>
      <c r="Q267" s="26"/>
      <c r="R267" s="13">
        <f t="shared" si="46"/>
        <v>7.7500000000000013E-2</v>
      </c>
      <c r="S267" s="13">
        <f t="shared" si="47"/>
        <v>-1.4999999999999875E-3</v>
      </c>
      <c r="T267" s="13" t="str">
        <f t="shared" si="48"/>
        <v/>
      </c>
      <c r="U267" s="13" t="str">
        <f t="shared" si="49"/>
        <v/>
      </c>
      <c r="V267" s="14">
        <f t="shared" si="50"/>
        <v>1</v>
      </c>
      <c r="W267" s="26"/>
      <c r="X267" t="str">
        <f t="shared" si="51"/>
        <v>innerhalb</v>
      </c>
      <c r="Y267" s="13">
        <f t="shared" si="52"/>
        <v>1.4999999999999875E-3</v>
      </c>
      <c r="Z267" t="str">
        <f>IFERROR(VLOOKUP(A267,Unternehmen!$A:$D,4,FALSE()),"")</f>
        <v>Automobile</v>
      </c>
    </row>
    <row r="268" spans="1:26" ht="15" customHeight="1" x14ac:dyDescent="0.35">
      <c r="A268" s="23" t="s">
        <v>118</v>
      </c>
      <c r="B268" s="23">
        <v>2023</v>
      </c>
      <c r="C268" s="23" t="s">
        <v>15</v>
      </c>
      <c r="D268" s="23" t="s">
        <v>541</v>
      </c>
      <c r="E268" s="23">
        <v>231</v>
      </c>
      <c r="F268" s="23" t="s">
        <v>140</v>
      </c>
      <c r="G268" s="23" t="s">
        <v>220</v>
      </c>
      <c r="H268" s="38" t="s">
        <v>221</v>
      </c>
      <c r="I268" s="30"/>
      <c r="J268" s="30"/>
      <c r="K268" s="25">
        <v>279050</v>
      </c>
      <c r="L268" s="25">
        <v>322284</v>
      </c>
      <c r="M268" s="25">
        <f>L268-K268</f>
        <v>43234</v>
      </c>
      <c r="N268" s="29" t="s">
        <v>218</v>
      </c>
      <c r="O268" s="23" t="s">
        <v>543</v>
      </c>
      <c r="P268" s="23">
        <v>267</v>
      </c>
      <c r="Q268" s="26" t="s">
        <v>544</v>
      </c>
      <c r="R268" s="31" t="str">
        <f t="shared" si="46"/>
        <v/>
      </c>
      <c r="S268" s="31" t="str">
        <f t="shared" si="47"/>
        <v/>
      </c>
      <c r="T268" s="13" t="str">
        <f t="shared" si="48"/>
        <v/>
      </c>
      <c r="U268" s="13" t="str">
        <f t="shared" si="49"/>
        <v/>
      </c>
      <c r="V268" s="14" t="str">
        <f t="shared" si="50"/>
        <v/>
      </c>
      <c r="W268" s="26" t="s">
        <v>545</v>
      </c>
      <c r="X268" t="str">
        <f t="shared" si="51"/>
        <v>nicht auswertbar</v>
      </c>
      <c r="Y268" s="31" t="str">
        <f t="shared" si="52"/>
        <v/>
      </c>
      <c r="Z268" t="str">
        <f>IFERROR(VLOOKUP(A268,Unternehmen!$A:$D,4,FALSE()),"")</f>
        <v>Automobile</v>
      </c>
    </row>
    <row r="269" spans="1:26" ht="15" customHeight="1" x14ac:dyDescent="0.35">
      <c r="A269" s="23" t="s">
        <v>118</v>
      </c>
      <c r="B269" s="23">
        <v>2023</v>
      </c>
      <c r="C269" s="23" t="s">
        <v>155</v>
      </c>
      <c r="D269" s="23" t="s">
        <v>541</v>
      </c>
      <c r="E269" s="23">
        <v>231</v>
      </c>
      <c r="F269" s="23" t="s">
        <v>137</v>
      </c>
      <c r="G269" s="23" t="s">
        <v>203</v>
      </c>
      <c r="H269" s="23" t="s">
        <v>204</v>
      </c>
      <c r="I269" s="24">
        <v>7.4999999999999997E-2</v>
      </c>
      <c r="J269" s="24">
        <v>8.5000000000000006E-2</v>
      </c>
      <c r="K269" s="24">
        <f>L267</f>
        <v>7.9000000000000001E-2</v>
      </c>
      <c r="L269" s="24">
        <v>7.0000000000000007E-2</v>
      </c>
      <c r="M269" s="24" t="s">
        <v>546</v>
      </c>
      <c r="N269" s="23" t="s">
        <v>547</v>
      </c>
      <c r="O269" s="23" t="s">
        <v>543</v>
      </c>
      <c r="P269" s="23">
        <v>461</v>
      </c>
      <c r="Q269" s="26"/>
      <c r="R269" s="13">
        <f t="shared" si="46"/>
        <v>0.08</v>
      </c>
      <c r="S269" s="13">
        <f t="shared" si="47"/>
        <v>9.999999999999995E-3</v>
      </c>
      <c r="T269" s="13" t="str">
        <f t="shared" si="48"/>
        <v/>
      </c>
      <c r="U269" s="13" t="str">
        <f t="shared" si="49"/>
        <v/>
      </c>
      <c r="V269" s="14">
        <f t="shared" si="50"/>
        <v>0</v>
      </c>
      <c r="W269" s="26"/>
      <c r="X269" t="str">
        <f t="shared" si="51"/>
        <v>unterhalb</v>
      </c>
      <c r="Y269" s="13">
        <f t="shared" si="52"/>
        <v>9.999999999999995E-3</v>
      </c>
      <c r="Z269" t="str">
        <f>IFERROR(VLOOKUP(A269,Unternehmen!$A:$D,4,FALSE()),"")</f>
        <v>Automobile</v>
      </c>
    </row>
    <row r="270" spans="1:26" ht="15" customHeight="1" x14ac:dyDescent="0.35">
      <c r="A270" s="23" t="s">
        <v>118</v>
      </c>
      <c r="B270" s="23">
        <v>2024</v>
      </c>
      <c r="C270" s="23" t="s">
        <v>15</v>
      </c>
      <c r="D270" s="23" t="s">
        <v>584</v>
      </c>
      <c r="E270" s="23">
        <v>221</v>
      </c>
      <c r="F270" s="23" t="s">
        <v>140</v>
      </c>
      <c r="G270" s="23" t="s">
        <v>220</v>
      </c>
      <c r="H270" s="38" t="s">
        <v>221</v>
      </c>
      <c r="I270" s="30"/>
      <c r="J270" s="30"/>
      <c r="K270" s="25">
        <f>L268</f>
        <v>322284</v>
      </c>
      <c r="L270" s="25">
        <v>324656</v>
      </c>
      <c r="M270" s="25">
        <f>L270-K270</f>
        <v>2372</v>
      </c>
      <c r="N270" s="28" t="s">
        <v>208</v>
      </c>
      <c r="O270" s="23" t="s">
        <v>585</v>
      </c>
      <c r="P270" s="23">
        <v>470</v>
      </c>
      <c r="Q270" s="26"/>
      <c r="R270" s="31" t="str">
        <f t="shared" si="46"/>
        <v/>
      </c>
      <c r="S270" s="31" t="str">
        <f t="shared" si="47"/>
        <v/>
      </c>
      <c r="T270" s="13" t="str">
        <f t="shared" si="48"/>
        <v/>
      </c>
      <c r="U270" s="13" t="str">
        <f t="shared" si="49"/>
        <v/>
      </c>
      <c r="V270" s="14" t="str">
        <f t="shared" si="50"/>
        <v/>
      </c>
      <c r="W270" s="26" t="s">
        <v>548</v>
      </c>
      <c r="X270" t="str">
        <f t="shared" si="51"/>
        <v>nicht auswertbar</v>
      </c>
      <c r="Y270" s="31" t="str">
        <f t="shared" si="52"/>
        <v/>
      </c>
      <c r="Z270" t="str">
        <f>IFERROR(VLOOKUP(A270,Unternehmen!$A:$D,4,FALSE()),"")</f>
        <v>Automobile</v>
      </c>
    </row>
    <row r="271" spans="1:26" ht="15" customHeight="1" x14ac:dyDescent="0.35">
      <c r="A271" s="23" t="s">
        <v>118</v>
      </c>
      <c r="B271" s="23">
        <v>2024</v>
      </c>
      <c r="C271" s="23" t="s">
        <v>155</v>
      </c>
      <c r="D271" s="23" t="s">
        <v>584</v>
      </c>
      <c r="E271" s="23">
        <v>221</v>
      </c>
      <c r="F271" s="23" t="s">
        <v>137</v>
      </c>
      <c r="G271" s="23" t="s">
        <v>203</v>
      </c>
      <c r="H271" s="23" t="s">
        <v>204</v>
      </c>
      <c r="I271" s="24">
        <v>7.0000000000000007E-2</v>
      </c>
      <c r="J271" s="24">
        <v>7.4999999999999997E-2</v>
      </c>
      <c r="K271" s="24">
        <f>L269</f>
        <v>7.0000000000000007E-2</v>
      </c>
      <c r="L271" s="24">
        <v>5.8999999999999997E-2</v>
      </c>
      <c r="M271" s="24" t="s">
        <v>423</v>
      </c>
      <c r="N271" s="27" t="s">
        <v>423</v>
      </c>
      <c r="O271" s="23" t="s">
        <v>585</v>
      </c>
      <c r="P271" s="23">
        <v>671</v>
      </c>
      <c r="Q271" s="26"/>
      <c r="R271" s="13">
        <f t="shared" si="46"/>
        <v>7.2500000000000009E-2</v>
      </c>
      <c r="S271" s="13">
        <f t="shared" si="47"/>
        <v>1.3500000000000012E-2</v>
      </c>
      <c r="T271" s="13" t="str">
        <f t="shared" si="48"/>
        <v/>
      </c>
      <c r="U271" s="13" t="str">
        <f t="shared" si="49"/>
        <v/>
      </c>
      <c r="V271" s="14">
        <f t="shared" si="50"/>
        <v>0</v>
      </c>
      <c r="W271" s="26"/>
      <c r="X271" t="str">
        <f t="shared" si="51"/>
        <v>unterhalb</v>
      </c>
      <c r="Y271" s="13">
        <f t="shared" si="52"/>
        <v>1.3500000000000012E-2</v>
      </c>
      <c r="Z271" t="str">
        <f>IFERROR(VLOOKUP(A271,Unternehmen!$A:$D,4,FALSE()),"")</f>
        <v>Automobile</v>
      </c>
    </row>
    <row r="272" spans="1:26" ht="15" customHeight="1" x14ac:dyDescent="0.35">
      <c r="A272" s="23" t="s">
        <v>121</v>
      </c>
      <c r="B272" s="23">
        <v>2020</v>
      </c>
      <c r="C272" s="23" t="s">
        <v>15</v>
      </c>
      <c r="D272" s="23" t="s">
        <v>549</v>
      </c>
      <c r="E272" s="23">
        <v>137</v>
      </c>
      <c r="F272" s="23" t="s">
        <v>138</v>
      </c>
      <c r="G272" s="23" t="s">
        <v>220</v>
      </c>
      <c r="H272" s="38" t="s">
        <v>221</v>
      </c>
      <c r="I272" s="25">
        <v>1275</v>
      </c>
      <c r="J272" s="25">
        <v>1375</v>
      </c>
      <c r="K272" s="25">
        <v>1218.5999999999999</v>
      </c>
      <c r="L272" s="25">
        <v>1348.2</v>
      </c>
      <c r="M272" s="25">
        <f t="shared" ref="M272:M279" si="53">L272-K272</f>
        <v>129.60000000000014</v>
      </c>
      <c r="N272" s="28" t="s">
        <v>208</v>
      </c>
      <c r="O272" s="23" t="s">
        <v>550</v>
      </c>
      <c r="P272" s="23">
        <v>139</v>
      </c>
      <c r="Q272" s="26"/>
      <c r="R272" s="31">
        <f t="shared" si="46"/>
        <v>1325</v>
      </c>
      <c r="S272" s="31">
        <f t="shared" si="47"/>
        <v>-23.200000000000045</v>
      </c>
      <c r="T272" s="13">
        <f t="shared" si="48"/>
        <v>-1.72081293576621E-2</v>
      </c>
      <c r="U272" s="13">
        <f t="shared" si="49"/>
        <v>1.72081293576621E-2</v>
      </c>
      <c r="V272" s="14">
        <f t="shared" si="50"/>
        <v>1</v>
      </c>
      <c r="W272" s="26"/>
      <c r="X272" t="str">
        <f t="shared" si="51"/>
        <v>innerhalb</v>
      </c>
      <c r="Y272" s="31" t="str">
        <f t="shared" si="52"/>
        <v/>
      </c>
      <c r="Z272" t="str">
        <f>IFERROR(VLOOKUP(A272,Unternehmen!$A:$D,4,FALSE()),"")</f>
        <v>Immobilien</v>
      </c>
    </row>
    <row r="273" spans="1:26" ht="15" customHeight="1" x14ac:dyDescent="0.35">
      <c r="A273" s="23" t="s">
        <v>121</v>
      </c>
      <c r="B273" s="23">
        <v>2020</v>
      </c>
      <c r="C273" s="23" t="s">
        <v>155</v>
      </c>
      <c r="D273" s="23" t="s">
        <v>549</v>
      </c>
      <c r="E273" s="23">
        <v>137</v>
      </c>
      <c r="F273" s="23" t="s">
        <v>138</v>
      </c>
      <c r="G273" s="23" t="s">
        <v>220</v>
      </c>
      <c r="H273" s="38" t="s">
        <v>221</v>
      </c>
      <c r="I273" s="25">
        <v>1875</v>
      </c>
      <c r="J273" s="25">
        <v>1925</v>
      </c>
      <c r="K273" s="25">
        <v>1760.1</v>
      </c>
      <c r="L273" s="25">
        <v>1909.8</v>
      </c>
      <c r="M273" s="25">
        <f t="shared" si="53"/>
        <v>149.70000000000005</v>
      </c>
      <c r="N273" s="28" t="s">
        <v>208</v>
      </c>
      <c r="O273" s="23" t="s">
        <v>550</v>
      </c>
      <c r="P273" s="23">
        <v>139</v>
      </c>
      <c r="Q273" s="26"/>
      <c r="R273" s="31">
        <f t="shared" si="46"/>
        <v>1900</v>
      </c>
      <c r="S273" s="31">
        <f t="shared" si="47"/>
        <v>-9.7999999999999545</v>
      </c>
      <c r="T273" s="13">
        <f t="shared" si="48"/>
        <v>-5.1314273745941743E-3</v>
      </c>
      <c r="U273" s="13">
        <f t="shared" si="49"/>
        <v>5.1314273745941743E-3</v>
      </c>
      <c r="V273" s="14">
        <f t="shared" si="50"/>
        <v>1</v>
      </c>
      <c r="W273" s="26"/>
      <c r="X273" t="str">
        <f t="shared" si="51"/>
        <v>innerhalb</v>
      </c>
      <c r="Y273" s="31" t="str">
        <f t="shared" si="52"/>
        <v/>
      </c>
      <c r="Z273" t="str">
        <f>IFERROR(VLOOKUP(A273,Unternehmen!$A:$D,4,FALSE()),"")</f>
        <v>Immobilien</v>
      </c>
    </row>
    <row r="274" spans="1:26" ht="15" customHeight="1" x14ac:dyDescent="0.35">
      <c r="A274" s="23" t="s">
        <v>121</v>
      </c>
      <c r="B274" s="23">
        <v>2021</v>
      </c>
      <c r="C274" s="23" t="s">
        <v>15</v>
      </c>
      <c r="D274" s="23" t="s">
        <v>550</v>
      </c>
      <c r="E274" s="23">
        <v>139</v>
      </c>
      <c r="F274" s="23" t="s">
        <v>138</v>
      </c>
      <c r="G274" s="23" t="s">
        <v>220</v>
      </c>
      <c r="H274" s="38" t="s">
        <v>221</v>
      </c>
      <c r="I274" s="25">
        <v>1415</v>
      </c>
      <c r="J274" s="25">
        <v>1465</v>
      </c>
      <c r="K274" s="25">
        <f>L272</f>
        <v>1348.2</v>
      </c>
      <c r="L274" s="25">
        <v>1534.5</v>
      </c>
      <c r="M274" s="25">
        <f t="shared" si="53"/>
        <v>186.29999999999995</v>
      </c>
      <c r="N274" s="29" t="s">
        <v>218</v>
      </c>
      <c r="O274" s="23" t="s">
        <v>551</v>
      </c>
      <c r="P274" s="23">
        <v>147</v>
      </c>
      <c r="Q274" s="26" t="s">
        <v>552</v>
      </c>
      <c r="R274" s="31">
        <f t="shared" si="46"/>
        <v>1440</v>
      </c>
      <c r="S274" s="31">
        <f t="shared" si="47"/>
        <v>-94.5</v>
      </c>
      <c r="T274" s="13">
        <f t="shared" si="48"/>
        <v>-6.1583577712609971E-2</v>
      </c>
      <c r="U274" s="13">
        <f t="shared" si="49"/>
        <v>6.1583577712609971E-2</v>
      </c>
      <c r="V274" s="14">
        <f t="shared" si="50"/>
        <v>0</v>
      </c>
      <c r="W274" s="26"/>
      <c r="X274" t="str">
        <f t="shared" si="51"/>
        <v>oberhalb</v>
      </c>
      <c r="Y274" s="31" t="str">
        <f t="shared" si="52"/>
        <v/>
      </c>
      <c r="Z274" t="str">
        <f>IFERROR(VLOOKUP(A274,Unternehmen!$A:$D,4,FALSE()),"")</f>
        <v>Immobilien</v>
      </c>
    </row>
    <row r="275" spans="1:26" ht="15" customHeight="1" x14ac:dyDescent="0.35">
      <c r="A275" s="23" t="s">
        <v>121</v>
      </c>
      <c r="B275" s="23">
        <v>2021</v>
      </c>
      <c r="C275" s="23" t="s">
        <v>155</v>
      </c>
      <c r="D275" s="23" t="s">
        <v>550</v>
      </c>
      <c r="E275" s="23">
        <v>139</v>
      </c>
      <c r="F275" s="23" t="s">
        <v>138</v>
      </c>
      <c r="G275" s="23" t="s">
        <v>220</v>
      </c>
      <c r="H275" s="38" t="s">
        <v>221</v>
      </c>
      <c r="I275" s="25">
        <v>1975</v>
      </c>
      <c r="J275" s="25">
        <v>2025</v>
      </c>
      <c r="K275" s="25">
        <f>L273</f>
        <v>1909.8</v>
      </c>
      <c r="L275" s="25">
        <v>2098.5</v>
      </c>
      <c r="M275" s="25">
        <f t="shared" si="53"/>
        <v>188.70000000000005</v>
      </c>
      <c r="N275" s="29" t="s">
        <v>218</v>
      </c>
      <c r="O275" s="23" t="s">
        <v>551</v>
      </c>
      <c r="P275" s="23">
        <v>147</v>
      </c>
      <c r="Q275" s="26" t="s">
        <v>552</v>
      </c>
      <c r="R275" s="31">
        <f t="shared" si="46"/>
        <v>2000</v>
      </c>
      <c r="S275" s="31">
        <f t="shared" si="47"/>
        <v>-98.5</v>
      </c>
      <c r="T275" s="13">
        <f t="shared" si="48"/>
        <v>-4.6938289254229208E-2</v>
      </c>
      <c r="U275" s="13">
        <f t="shared" si="49"/>
        <v>4.6938289254229208E-2</v>
      </c>
      <c r="V275" s="14">
        <f t="shared" si="50"/>
        <v>0</v>
      </c>
      <c r="W275" s="26"/>
      <c r="X275" t="str">
        <f t="shared" si="51"/>
        <v>oberhalb</v>
      </c>
      <c r="Y275" s="31" t="str">
        <f t="shared" si="52"/>
        <v/>
      </c>
      <c r="Z275" t="str">
        <f>IFERROR(VLOOKUP(A275,Unternehmen!$A:$D,4,FALSE()),"")</f>
        <v>Immobilien</v>
      </c>
    </row>
    <row r="276" spans="1:26" ht="15" customHeight="1" x14ac:dyDescent="0.35">
      <c r="A276" s="23" t="s">
        <v>121</v>
      </c>
      <c r="B276" s="23">
        <v>2022</v>
      </c>
      <c r="C276" s="23" t="s">
        <v>15</v>
      </c>
      <c r="D276" s="23" t="s">
        <v>551</v>
      </c>
      <c r="E276" s="23">
        <v>147</v>
      </c>
      <c r="F276" s="23" t="s">
        <v>138</v>
      </c>
      <c r="G276" s="23" t="s">
        <v>220</v>
      </c>
      <c r="H276" s="38" t="s">
        <v>221</v>
      </c>
      <c r="I276" s="25">
        <v>2000</v>
      </c>
      <c r="J276" s="25">
        <v>2100</v>
      </c>
      <c r="K276" s="25">
        <v>1694.4</v>
      </c>
      <c r="L276" s="25">
        <v>2035.6</v>
      </c>
      <c r="M276" s="25">
        <f t="shared" si="53"/>
        <v>341.19999999999982</v>
      </c>
      <c r="N276" s="28" t="s">
        <v>208</v>
      </c>
      <c r="O276" s="23" t="s">
        <v>553</v>
      </c>
      <c r="P276" s="23">
        <v>139</v>
      </c>
      <c r="Q276" s="26" t="s">
        <v>554</v>
      </c>
      <c r="R276" s="31">
        <f t="shared" si="46"/>
        <v>2050</v>
      </c>
      <c r="S276" s="31">
        <f t="shared" si="47"/>
        <v>14.400000000000091</v>
      </c>
      <c r="T276" s="13">
        <f t="shared" si="48"/>
        <v>7.0740813519355921E-3</v>
      </c>
      <c r="U276" s="13">
        <f t="shared" si="49"/>
        <v>7.0740813519355921E-3</v>
      </c>
      <c r="V276" s="14">
        <f t="shared" si="50"/>
        <v>1</v>
      </c>
      <c r="W276" s="26"/>
      <c r="X276" t="str">
        <f t="shared" si="51"/>
        <v>innerhalb</v>
      </c>
      <c r="Y276" s="31" t="str">
        <f t="shared" si="52"/>
        <v/>
      </c>
      <c r="Z276" t="str">
        <f>IFERROR(VLOOKUP(A276,Unternehmen!$A:$D,4,FALSE()),"")</f>
        <v>Immobilien</v>
      </c>
    </row>
    <row r="277" spans="1:26" ht="15" customHeight="1" x14ac:dyDescent="0.35">
      <c r="A277" s="23" t="s">
        <v>121</v>
      </c>
      <c r="B277" s="23">
        <v>2022</v>
      </c>
      <c r="C277" s="23" t="s">
        <v>155</v>
      </c>
      <c r="D277" s="23" t="s">
        <v>551</v>
      </c>
      <c r="E277" s="23">
        <v>147</v>
      </c>
      <c r="F277" s="23" t="s">
        <v>138</v>
      </c>
      <c r="G277" s="23" t="s">
        <v>220</v>
      </c>
      <c r="H277" s="38" t="s">
        <v>221</v>
      </c>
      <c r="I277" s="25">
        <v>2750</v>
      </c>
      <c r="J277" s="25">
        <v>2850</v>
      </c>
      <c r="K277" s="25">
        <v>2254.4</v>
      </c>
      <c r="L277" s="25">
        <v>2763.1</v>
      </c>
      <c r="M277" s="25">
        <f t="shared" si="53"/>
        <v>508.69999999999982</v>
      </c>
      <c r="N277" s="28" t="s">
        <v>208</v>
      </c>
      <c r="O277" s="23" t="s">
        <v>553</v>
      </c>
      <c r="P277" s="23">
        <v>139</v>
      </c>
      <c r="Q277" s="26" t="s">
        <v>555</v>
      </c>
      <c r="R277" s="31">
        <f t="shared" si="46"/>
        <v>2800</v>
      </c>
      <c r="S277" s="31">
        <f t="shared" si="47"/>
        <v>36.900000000000091</v>
      </c>
      <c r="T277" s="13">
        <f t="shared" si="48"/>
        <v>1.3354565524230064E-2</v>
      </c>
      <c r="U277" s="13">
        <f t="shared" si="49"/>
        <v>1.3354565524230064E-2</v>
      </c>
      <c r="V277" s="14">
        <f t="shared" si="50"/>
        <v>1</v>
      </c>
      <c r="W277" s="26"/>
      <c r="X277" t="str">
        <f t="shared" si="51"/>
        <v>innerhalb</v>
      </c>
      <c r="Y277" s="31" t="str">
        <f t="shared" si="52"/>
        <v/>
      </c>
      <c r="Z277" t="str">
        <f>IFERROR(VLOOKUP(A277,Unternehmen!$A:$D,4,FALSE()),"")</f>
        <v>Immobilien</v>
      </c>
    </row>
    <row r="278" spans="1:26" ht="15" customHeight="1" x14ac:dyDescent="0.35">
      <c r="A278" s="23" t="s">
        <v>121</v>
      </c>
      <c r="B278" s="23">
        <v>2023</v>
      </c>
      <c r="C278" s="23" t="s">
        <v>15</v>
      </c>
      <c r="D278" s="23" t="s">
        <v>553</v>
      </c>
      <c r="E278" s="23">
        <v>139</v>
      </c>
      <c r="F278" s="23" t="s">
        <v>138</v>
      </c>
      <c r="G278" s="23" t="s">
        <v>220</v>
      </c>
      <c r="H278" s="38" t="s">
        <v>221</v>
      </c>
      <c r="I278" s="25">
        <v>1750</v>
      </c>
      <c r="J278" s="25">
        <v>1950</v>
      </c>
      <c r="K278" s="25">
        <f>L276</f>
        <v>2035.6</v>
      </c>
      <c r="L278" s="25">
        <v>1847.1</v>
      </c>
      <c r="M278" s="25">
        <f t="shared" si="53"/>
        <v>-188.5</v>
      </c>
      <c r="N278" s="28" t="s">
        <v>208</v>
      </c>
      <c r="O278" s="23" t="s">
        <v>556</v>
      </c>
      <c r="P278" s="23">
        <v>144</v>
      </c>
      <c r="Q278" s="26"/>
      <c r="R278" s="31">
        <f t="shared" si="46"/>
        <v>1850</v>
      </c>
      <c r="S278" s="31">
        <f t="shared" si="47"/>
        <v>2.9000000000000909</v>
      </c>
      <c r="T278" s="13">
        <f t="shared" si="48"/>
        <v>1.5700286936278984E-3</v>
      </c>
      <c r="U278" s="13">
        <f t="shared" si="49"/>
        <v>1.5700286936278984E-3</v>
      </c>
      <c r="V278" s="14">
        <f t="shared" si="50"/>
        <v>1</v>
      </c>
      <c r="W278" s="26"/>
      <c r="X278" t="str">
        <f t="shared" si="51"/>
        <v>innerhalb</v>
      </c>
      <c r="Y278" s="31" t="str">
        <f t="shared" si="52"/>
        <v/>
      </c>
      <c r="Z278" t="str">
        <f>IFERROR(VLOOKUP(A278,Unternehmen!$A:$D,4,FALSE()),"")</f>
        <v>Immobilien</v>
      </c>
    </row>
    <row r="279" spans="1:26" ht="15" customHeight="1" x14ac:dyDescent="0.35">
      <c r="A279" s="23" t="s">
        <v>121</v>
      </c>
      <c r="B279" s="23">
        <v>2023</v>
      </c>
      <c r="C279" s="23" t="s">
        <v>155</v>
      </c>
      <c r="D279" s="23" t="s">
        <v>553</v>
      </c>
      <c r="E279" s="23">
        <v>139</v>
      </c>
      <c r="F279" s="23" t="s">
        <v>138</v>
      </c>
      <c r="G279" s="23" t="s">
        <v>220</v>
      </c>
      <c r="H279" s="38" t="s">
        <v>221</v>
      </c>
      <c r="I279" s="25">
        <v>2600</v>
      </c>
      <c r="J279" s="25">
        <v>2850</v>
      </c>
      <c r="K279" s="25">
        <f>L277</f>
        <v>2763.1</v>
      </c>
      <c r="L279" s="25">
        <v>2652.4</v>
      </c>
      <c r="M279" s="25">
        <f t="shared" si="53"/>
        <v>-110.69999999999982</v>
      </c>
      <c r="N279" s="28" t="s">
        <v>208</v>
      </c>
      <c r="O279" s="23" t="s">
        <v>556</v>
      </c>
      <c r="P279" s="23">
        <v>144</v>
      </c>
      <c r="Q279" s="26" t="s">
        <v>557</v>
      </c>
      <c r="R279" s="31">
        <f t="shared" si="46"/>
        <v>2725</v>
      </c>
      <c r="S279" s="31">
        <f t="shared" si="47"/>
        <v>72.599999999999909</v>
      </c>
      <c r="T279" s="13">
        <f t="shared" si="48"/>
        <v>2.7371437188960904E-2</v>
      </c>
      <c r="U279" s="13">
        <f t="shared" si="49"/>
        <v>2.7371437188960904E-2</v>
      </c>
      <c r="V279" s="14">
        <f t="shared" si="50"/>
        <v>1</v>
      </c>
      <c r="W279" s="26"/>
      <c r="X279" t="str">
        <f t="shared" si="51"/>
        <v>innerhalb</v>
      </c>
      <c r="Y279" s="31" t="str">
        <f t="shared" si="52"/>
        <v/>
      </c>
      <c r="Z279" t="str">
        <f>IFERROR(VLOOKUP(A279,Unternehmen!$A:$D,4,FALSE()),"")</f>
        <v>Immobilien</v>
      </c>
    </row>
    <row r="280" spans="1:26" ht="15" customHeight="1" x14ac:dyDescent="0.35">
      <c r="A280" s="23" t="s">
        <v>121</v>
      </c>
      <c r="B280" s="23">
        <v>2024</v>
      </c>
      <c r="C280" s="23" t="s">
        <v>15</v>
      </c>
      <c r="D280" s="23" t="s">
        <v>556</v>
      </c>
      <c r="E280" s="52"/>
      <c r="F280" s="52" t="s">
        <v>134</v>
      </c>
      <c r="G280" s="52"/>
      <c r="H280" s="53"/>
      <c r="I280" s="54"/>
      <c r="J280" s="54"/>
      <c r="K280" s="54"/>
      <c r="L280" s="54"/>
      <c r="M280" s="54"/>
      <c r="N280" s="52"/>
      <c r="O280" s="55"/>
      <c r="P280" s="52"/>
      <c r="Q280" s="26" t="s">
        <v>558</v>
      </c>
      <c r="R280" s="31" t="str">
        <f t="shared" si="46"/>
        <v/>
      </c>
      <c r="S280" s="31" t="str">
        <f t="shared" si="47"/>
        <v/>
      </c>
      <c r="T280" s="13" t="str">
        <f t="shared" si="48"/>
        <v/>
      </c>
      <c r="U280" s="13" t="str">
        <f t="shared" si="49"/>
        <v/>
      </c>
      <c r="V280" s="14" t="str">
        <f t="shared" si="50"/>
        <v/>
      </c>
      <c r="W280" s="26"/>
      <c r="X280" t="str">
        <f t="shared" si="51"/>
        <v>nicht auswertbar</v>
      </c>
      <c r="Y280" s="31" t="str">
        <f t="shared" si="52"/>
        <v/>
      </c>
      <c r="Z280" t="str">
        <f>IFERROR(VLOOKUP(A280,Unternehmen!$A:$D,4,FALSE()),"")</f>
        <v>Immobilien</v>
      </c>
    </row>
    <row r="281" spans="1:26" ht="15" customHeight="1" x14ac:dyDescent="0.35">
      <c r="A281" s="23" t="s">
        <v>121</v>
      </c>
      <c r="B281" s="23">
        <v>2024</v>
      </c>
      <c r="C281" s="23" t="s">
        <v>155</v>
      </c>
      <c r="D281" s="23" t="s">
        <v>556</v>
      </c>
      <c r="E281" s="23">
        <v>145</v>
      </c>
      <c r="F281" s="23" t="s">
        <v>138</v>
      </c>
      <c r="G281" s="23" t="s">
        <v>220</v>
      </c>
      <c r="H281" s="38" t="s">
        <v>221</v>
      </c>
      <c r="I281" s="25">
        <v>2550</v>
      </c>
      <c r="J281" s="25">
        <v>2650</v>
      </c>
      <c r="K281" s="25">
        <v>2583.8000000000002</v>
      </c>
      <c r="L281" s="25">
        <v>2625.1</v>
      </c>
      <c r="M281" s="25">
        <f>L281-K281</f>
        <v>41.299999999999727</v>
      </c>
      <c r="N281" s="28" t="s">
        <v>208</v>
      </c>
      <c r="O281" s="56" t="s">
        <v>559</v>
      </c>
      <c r="P281" s="23">
        <v>208</v>
      </c>
      <c r="Q281" s="26" t="s">
        <v>560</v>
      </c>
      <c r="R281" s="31">
        <f t="shared" si="46"/>
        <v>2600</v>
      </c>
      <c r="S281" s="31">
        <f t="shared" si="47"/>
        <v>-25.099999999999909</v>
      </c>
      <c r="T281" s="13">
        <f t="shared" si="48"/>
        <v>-9.5615405127423368E-3</v>
      </c>
      <c r="U281" s="13">
        <f t="shared" si="49"/>
        <v>9.5615405127423368E-3</v>
      </c>
      <c r="V281" s="14">
        <f t="shared" si="50"/>
        <v>1</v>
      </c>
      <c r="W281" s="26"/>
      <c r="X281" t="str">
        <f t="shared" si="51"/>
        <v>innerhalb</v>
      </c>
      <c r="Y281" s="31" t="str">
        <f t="shared" si="52"/>
        <v/>
      </c>
      <c r="Z281" t="str">
        <f>IFERROR(VLOOKUP(A281,Unternehmen!$A:$D,4,FALSE()),"")</f>
        <v>Immobilien</v>
      </c>
    </row>
    <row r="283" spans="1:26" x14ac:dyDescent="0.35">
      <c r="A283" s="60" t="s">
        <v>586</v>
      </c>
      <c r="B283" s="60"/>
      <c r="C283" s="60"/>
      <c r="D283" s="60"/>
      <c r="E283" s="60"/>
      <c r="F283" s="60"/>
      <c r="G283" s="60"/>
      <c r="H283" s="59"/>
      <c r="I283" s="59"/>
      <c r="J283" s="59"/>
      <c r="K283" s="59"/>
      <c r="L283" s="59"/>
      <c r="M283" s="59"/>
      <c r="N283" s="59"/>
      <c r="O283" s="59"/>
      <c r="P283" s="59"/>
    </row>
  </sheetData>
  <autoFilter ref="A1:Q281" xr:uid="{00000000-0009-0000-0000-000002000000}"/>
  <mergeCells count="3">
    <mergeCell ref="A283:G283"/>
    <mergeCell ref="H283:N283"/>
    <mergeCell ref="O283:P283"/>
  </mergeCells>
  <dataValidations count="3">
    <dataValidation type="list" allowBlank="1" sqref="F2:F281" xr:uid="{00000000-0002-0000-0200-000003000000}">
      <formula1>"Punkt,Bandbreite,Punkt mit Korridor,Mindestprognose,verbal-quantifiziert,qualitativ,fehlend,zurueckgezogen"</formula1>
      <formula2>0</formula2>
    </dataValidation>
    <dataValidation type="list" allowBlank="1" sqref="C2:C281" xr:uid="{00000000-0002-0000-0200-000000000000}">
      <formula1>"Umsatz,Operative Ergebnisgroesse"</formula1>
      <formula2>0</formula2>
    </dataValidation>
    <dataValidation type="list" allowBlank="1" sqref="G2:G281" xr:uid="{00000000-0002-0000-0200-000001000000}">
      <formula1>"absolut,Wachstumsrate %,Marge %"</formula1>
      <formula2>0</formula2>
    </dataValidation>
  </dataValidations>
  <pageMargins left="0.74803149606299213" right="0.74803149606299213" top="0.98425196850393704" bottom="0.98425196850393704" header="0.51181102362204722" footer="0.51181102362204722"/>
  <pageSetup paperSize="9" scale="20" fitToHeight="0" orientation="landscape" horizontalDpi="300" verticalDpi="300" r:id="rId1"/>
  <headerFooter>
    <oddHeader>&amp;RAugust 2026</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07"/>
  <sheetViews>
    <sheetView zoomScale="85" zoomScaleNormal="85" workbookViewId="0">
      <selection activeCell="G25" sqref="G25"/>
    </sheetView>
  </sheetViews>
  <sheetFormatPr defaultColWidth="8.6328125" defaultRowHeight="14.5" x14ac:dyDescent="0.35"/>
  <cols>
    <col min="1" max="1" width="38" customWidth="1"/>
    <col min="2" max="7" width="17" customWidth="1"/>
  </cols>
  <sheetData>
    <row r="1" spans="1:5" ht="17.25" customHeight="1" x14ac:dyDescent="0.4">
      <c r="A1" s="10" t="s">
        <v>583</v>
      </c>
    </row>
    <row r="3" spans="1:5" ht="15" customHeight="1" x14ac:dyDescent="0.35">
      <c r="A3" s="11" t="s">
        <v>128</v>
      </c>
      <c r="B3" s="12"/>
      <c r="C3" s="12"/>
      <c r="D3" s="12"/>
      <c r="E3" s="12"/>
    </row>
    <row r="4" spans="1:5" ht="15" customHeight="1" x14ac:dyDescent="0.35">
      <c r="A4" t="s">
        <v>129</v>
      </c>
      <c r="B4">
        <f>COUNTA(Daten!$A$2:$A$281)</f>
        <v>280</v>
      </c>
    </row>
    <row r="5" spans="1:5" ht="15" customHeight="1" x14ac:dyDescent="0.35">
      <c r="A5" t="s">
        <v>130</v>
      </c>
      <c r="B5">
        <f>COUNTIF(Daten!$C$2:$C$281,"Umsatz")</f>
        <v>140</v>
      </c>
    </row>
    <row r="6" spans="1:5" ht="15" customHeight="1" x14ac:dyDescent="0.35">
      <c r="A6" t="s">
        <v>131</v>
      </c>
      <c r="B6">
        <f>COUNTIF(Daten!$C$2:$C$281,"Operative Ergebnisgroesse")</f>
        <v>140</v>
      </c>
    </row>
    <row r="8" spans="1:5" ht="15" customHeight="1" x14ac:dyDescent="0.35">
      <c r="A8" t="s">
        <v>132</v>
      </c>
      <c r="B8">
        <f>COUNT(Daten!$S$2:$S$281)</f>
        <v>177</v>
      </c>
    </row>
    <row r="9" spans="1:5" ht="15" customHeight="1" x14ac:dyDescent="0.35">
      <c r="A9" t="s">
        <v>133</v>
      </c>
      <c r="B9">
        <f>COUNTIF(Daten!$F$2:$F$281,"qualitativ")</f>
        <v>66</v>
      </c>
    </row>
    <row r="10" spans="1:5" ht="15" customHeight="1" x14ac:dyDescent="0.35">
      <c r="A10" t="s">
        <v>134</v>
      </c>
      <c r="B10">
        <f>COUNTIF(Daten!$F$2:$F$281,"fehlend")</f>
        <v>38</v>
      </c>
    </row>
    <row r="11" spans="1:5" ht="15" customHeight="1" x14ac:dyDescent="0.35">
      <c r="A11" t="s">
        <v>135</v>
      </c>
      <c r="B11" s="13">
        <f>(COUNTIF(Daten!$F$2:$F$281,"qualitativ")+COUNTIF(Daten!$F$2:$F$281,"fehlend"))/COUNTA(Daten!$A$2:$A$281)</f>
        <v>0.37142857142857144</v>
      </c>
    </row>
    <row r="13" spans="1:5" ht="15" customHeight="1" x14ac:dyDescent="0.35">
      <c r="A13" s="11" t="s">
        <v>136</v>
      </c>
      <c r="B13" s="12"/>
      <c r="C13" s="12"/>
      <c r="D13" s="12"/>
      <c r="E13" s="12"/>
    </row>
    <row r="14" spans="1:5" ht="15" customHeight="1" x14ac:dyDescent="0.35">
      <c r="A14" t="s">
        <v>137</v>
      </c>
      <c r="B14">
        <f>COUNTIF(Daten!$F$2:$F$281,"Bandbreite")</f>
        <v>79</v>
      </c>
      <c r="C14" s="13">
        <f>B14/COUNTA(Daten!$A$2:$A$281)</f>
        <v>0.28214285714285714</v>
      </c>
    </row>
    <row r="15" spans="1:5" ht="15" customHeight="1" x14ac:dyDescent="0.35">
      <c r="A15" t="s">
        <v>138</v>
      </c>
      <c r="B15">
        <f>COUNTIF(Daten!$F$2:$F$281,"Punkt mit Korridor")</f>
        <v>60</v>
      </c>
      <c r="C15" s="13">
        <f>B15/COUNTA(Daten!$A$2:$A$281)</f>
        <v>0.21428571428571427</v>
      </c>
    </row>
    <row r="16" spans="1:5" ht="15" customHeight="1" x14ac:dyDescent="0.35">
      <c r="A16" t="s">
        <v>139</v>
      </c>
      <c r="B16">
        <f>COUNTIF(Daten!$F$2:$F$281,"Punkt")</f>
        <v>30</v>
      </c>
      <c r="C16" s="13">
        <f>B16/COUNTA(Daten!$A$2:$A$281)</f>
        <v>0.10714285714285714</v>
      </c>
    </row>
    <row r="17" spans="1:5" ht="15" customHeight="1" x14ac:dyDescent="0.35">
      <c r="A17" t="s">
        <v>140</v>
      </c>
      <c r="B17">
        <f>COUNTIF(Daten!$F$2:$F$281,"verbal-quantifiziert")</f>
        <v>7</v>
      </c>
      <c r="C17" s="13">
        <f>B17/COUNTA(Daten!$A$2:$A$281)</f>
        <v>2.5000000000000001E-2</v>
      </c>
    </row>
    <row r="18" spans="1:5" ht="15" customHeight="1" x14ac:dyDescent="0.35">
      <c r="A18" t="s">
        <v>133</v>
      </c>
      <c r="B18">
        <f>COUNTIF(Daten!$F$2:$F$281,"qualitativ")</f>
        <v>66</v>
      </c>
      <c r="C18" s="13">
        <f>B18/COUNTA(Daten!$A$2:$A$281)</f>
        <v>0.23571428571428571</v>
      </c>
    </row>
    <row r="19" spans="1:5" ht="15" customHeight="1" x14ac:dyDescent="0.35">
      <c r="A19" t="s">
        <v>134</v>
      </c>
      <c r="B19">
        <f>COUNTIF(Daten!$F$2:$F$281,"fehlend")</f>
        <v>38</v>
      </c>
      <c r="C19" s="13">
        <f>B19/COUNTA(Daten!$A$2:$A$281)</f>
        <v>0.1357142857142857</v>
      </c>
    </row>
    <row r="21" spans="1:5" ht="15" customHeight="1" x14ac:dyDescent="0.35">
      <c r="A21" s="11" t="s">
        <v>141</v>
      </c>
      <c r="B21" s="12"/>
      <c r="C21" s="12"/>
      <c r="D21" s="12"/>
      <c r="E21" s="12"/>
    </row>
    <row r="22" spans="1:5" ht="15" customHeight="1" x14ac:dyDescent="0.35">
      <c r="A22" t="s">
        <v>142</v>
      </c>
      <c r="B22" s="13">
        <f>AVERAGEIFS(Daten!$U$2:$U$281,Daten!$G$2:$G$281,"absolut")</f>
        <v>0.13360306860007826</v>
      </c>
    </row>
    <row r="23" spans="1:5" ht="15" customHeight="1" x14ac:dyDescent="0.35">
      <c r="A23" t="s">
        <v>143</v>
      </c>
      <c r="B23" s="14">
        <f>COUNTIFS(Daten!$G$2:$G$281,"absolut",Daten!$U$2:$U$281,"&gt;=0")</f>
        <v>119</v>
      </c>
    </row>
    <row r="24" spans="1:5" ht="15" customHeight="1" x14ac:dyDescent="0.35">
      <c r="A24" t="s">
        <v>144</v>
      </c>
      <c r="B24" s="13">
        <f>AVERAGEIFS(Daten!$T$2:$T$281,Daten!$G$2:$G$281,"absolut")</f>
        <v>-2.7163762652067106E-2</v>
      </c>
    </row>
    <row r="26" spans="1:5" ht="15" customHeight="1" x14ac:dyDescent="0.35">
      <c r="A26" t="s">
        <v>145</v>
      </c>
      <c r="B26" s="13">
        <f>AVERAGE(Daten!$Y$2:$Y$281)</f>
        <v>2.9465517241379309E-2</v>
      </c>
    </row>
    <row r="27" spans="1:5" ht="15" customHeight="1" x14ac:dyDescent="0.35">
      <c r="A27" t="s">
        <v>143</v>
      </c>
      <c r="B27" s="14">
        <f>COUNT(Daten!$Y$2:$Y$281)</f>
        <v>58</v>
      </c>
    </row>
    <row r="29" spans="1:5" ht="15" customHeight="1" x14ac:dyDescent="0.35">
      <c r="A29" t="s">
        <v>146</v>
      </c>
      <c r="B29" s="13">
        <f>AVERAGE(Daten!$V$2:$V$281)</f>
        <v>0.28169014084507044</v>
      </c>
    </row>
    <row r="30" spans="1:5" ht="15" customHeight="1" x14ac:dyDescent="0.35">
      <c r="A30" t="s">
        <v>147</v>
      </c>
      <c r="B30" s="14">
        <f>COUNTIF(Daten!$X$2:$X$281,"innerhalb")</f>
        <v>38</v>
      </c>
    </row>
    <row r="31" spans="1:5" ht="15" customHeight="1" x14ac:dyDescent="0.35">
      <c r="A31" t="s">
        <v>148</v>
      </c>
      <c r="B31" s="14">
        <f>COUNTIF(Daten!$X$2:$X$281,"oberhalb")</f>
        <v>48</v>
      </c>
    </row>
    <row r="32" spans="1:5" ht="15" customHeight="1" x14ac:dyDescent="0.35">
      <c r="A32" t="s">
        <v>149</v>
      </c>
      <c r="B32" s="14">
        <f>COUNTIF(Daten!$X$2:$X$281,"unterhalb")</f>
        <v>52</v>
      </c>
    </row>
    <row r="34" spans="1:7" ht="15" customHeight="1" x14ac:dyDescent="0.35">
      <c r="A34" s="11" t="s">
        <v>150</v>
      </c>
      <c r="B34" s="12"/>
      <c r="C34" s="12"/>
      <c r="D34" s="12"/>
      <c r="E34" s="12"/>
    </row>
    <row r="35" spans="1:7" ht="15" customHeight="1" x14ac:dyDescent="0.35">
      <c r="A35" s="15"/>
      <c r="B35" s="15" t="s">
        <v>151</v>
      </c>
      <c r="C35" s="15" t="s">
        <v>152</v>
      </c>
      <c r="D35" s="15" t="s">
        <v>153</v>
      </c>
      <c r="E35" s="15" t="s">
        <v>152</v>
      </c>
      <c r="F35" s="15" t="s">
        <v>154</v>
      </c>
    </row>
    <row r="36" spans="1:7" ht="15" customHeight="1" x14ac:dyDescent="0.35">
      <c r="A36" t="s">
        <v>15</v>
      </c>
      <c r="B36" s="13">
        <f>IFERROR(AVERAGEIFS(Daten!$U$2:$U$281,Daten!$G$2:$G$281,"absolut",Daten!$C$2:$C$281,"Umsatz"),"")</f>
        <v>5.8790235341017377E-2</v>
      </c>
      <c r="C36">
        <f>COUNTIFS(Daten!$G$2:$G$281,"absolut",Daten!$C$2:$C$281,"Umsatz",Daten!$U$2:$U$281,"&gt;=0")</f>
        <v>49</v>
      </c>
      <c r="D36" s="13">
        <f>IFERROR(AVERAGEIFS(Daten!$Y$2:$Y$281,Daten!$C$2:$C$281,"Umsatz"),"")</f>
        <v>5.3222222222222226E-2</v>
      </c>
      <c r="E36">
        <f>COUNTIFS(Daten!$C$2:$C$281,"Umsatz",Daten!$Y$2:$Y$281,"&gt;=0")</f>
        <v>18</v>
      </c>
      <c r="F36" s="13">
        <f>IFERROR(AVERAGEIFS(Daten!$V$2:$V$281,Daten!$C$2:$C$281,"Umsatz"),"")</f>
        <v>0.22033898305084745</v>
      </c>
    </row>
    <row r="37" spans="1:7" ht="15" customHeight="1" x14ac:dyDescent="0.35">
      <c r="A37" t="s">
        <v>155</v>
      </c>
      <c r="B37" s="13">
        <f>IFERROR(AVERAGEIFS(Daten!$U$2:$U$281,Daten!$G$2:$G$281,"absolut",Daten!$C$2:$C$281,"Operative Ergebnisgroesse"),"")</f>
        <v>0.1859720518814208</v>
      </c>
      <c r="C37">
        <f>COUNTIFS(Daten!$G$2:$G$281,"absolut",Daten!$C$2:$C$281,"Operative Ergebnisgroesse",Daten!$U$2:$U$281,"&gt;=0")</f>
        <v>70</v>
      </c>
      <c r="D37" s="13">
        <f>IFERROR(AVERAGEIFS(Daten!$Y$2:$Y$281,Daten!$C$2:$C$281,"Operative Ergebnisgroesse"),"")</f>
        <v>1.8775000000000003E-2</v>
      </c>
      <c r="E37">
        <f>COUNTIFS(Daten!$C$2:$C$281,"Operative Ergebnisgroesse",Daten!$Y$2:$Y$281,"&gt;=0")</f>
        <v>40</v>
      </c>
      <c r="F37" s="13">
        <f>IFERROR(AVERAGEIFS(Daten!$V$2:$V$281,Daten!$C$2:$C$281,"Operative Ergebnisgroesse"),"")</f>
        <v>0.3253012048192771</v>
      </c>
    </row>
    <row r="39" spans="1:7" ht="15" customHeight="1" x14ac:dyDescent="0.35">
      <c r="A39" s="11" t="s">
        <v>156</v>
      </c>
      <c r="B39" s="12"/>
      <c r="C39" s="12"/>
      <c r="D39" s="12"/>
      <c r="E39" s="12"/>
    </row>
    <row r="40" spans="1:7" ht="15" customHeight="1" x14ac:dyDescent="0.35">
      <c r="A40" s="15" t="s">
        <v>157</v>
      </c>
      <c r="B40" s="15" t="s">
        <v>151</v>
      </c>
      <c r="C40" s="15" t="s">
        <v>152</v>
      </c>
      <c r="D40" s="15" t="s">
        <v>153</v>
      </c>
      <c r="E40" s="15" t="s">
        <v>152</v>
      </c>
      <c r="F40" s="15" t="s">
        <v>154</v>
      </c>
      <c r="G40" s="15" t="s">
        <v>158</v>
      </c>
    </row>
    <row r="41" spans="1:7" ht="15" customHeight="1" x14ac:dyDescent="0.35">
      <c r="A41">
        <v>2020</v>
      </c>
      <c r="B41" s="13">
        <f>IFERROR(AVERAGEIFS(Daten!$U$2:$U$281,Daten!$G$2:$G$281,"absolut",Daten!$B$2:$B$281,2020),"")</f>
        <v>0.13156670401811224</v>
      </c>
      <c r="C41">
        <f>COUNTIFS(Daten!$G$2:$G$281,"absolut",Daten!$B$2:$B$281,2020,Daten!$U$2:$U$281,"&gt;=0")</f>
        <v>20</v>
      </c>
      <c r="D41" s="13">
        <f>IFERROR(AVERAGEIFS(Daten!$Y$2:$Y$281,Daten!$B$2:$B$281,2020),"")</f>
        <v>5.2200000000000003E-2</v>
      </c>
      <c r="E41">
        <f>COUNTIFS(Daten!$B$2:$B$281,2020,Daten!$Y$2:$Y$281,"&gt;=0")</f>
        <v>10</v>
      </c>
      <c r="F41" s="13">
        <f>IFERROR(AVERAGEIFS(Daten!$V$2:$V$281,Daten!$B$2:$B$281,2020),"")</f>
        <v>0.16</v>
      </c>
      <c r="G41" s="13">
        <f>IFERROR(AVERAGEIFS(Daten!$T$2:$T$281,Daten!$G$2:$G$281,"absolut",Daten!$B$2:$B$281,2020),"")</f>
        <v>8.6122531554386109E-2</v>
      </c>
    </row>
    <row r="42" spans="1:7" ht="15" customHeight="1" x14ac:dyDescent="0.35">
      <c r="A42">
        <v>2021</v>
      </c>
      <c r="B42" s="13">
        <f>IFERROR(AVERAGEIFS(Daten!$U$2:$U$281,Daten!$G$2:$G$281,"absolut",Daten!$B$2:$B$281,2021),"")</f>
        <v>0.11739639432972895</v>
      </c>
      <c r="C42">
        <f>COUNTIFS(Daten!$G$2:$G$281,"absolut",Daten!$B$2:$B$281,2021,Daten!$U$2:$U$281,"&gt;=0")</f>
        <v>21</v>
      </c>
      <c r="D42" s="13">
        <f>IFERROR(AVERAGEIFS(Daten!$Y$2:$Y$281,Daten!$B$2:$B$281,2021),"")</f>
        <v>1.8227272727272727E-2</v>
      </c>
      <c r="E42">
        <f>COUNTIFS(Daten!$B$2:$B$281,2021,Daten!$Y$2:$Y$281,"&gt;=0")</f>
        <v>11</v>
      </c>
      <c r="F42" s="13">
        <f>IFERROR(AVERAGEIFS(Daten!$V$2:$V$281,Daten!$B$2:$B$281,2021),"")</f>
        <v>0.16</v>
      </c>
      <c r="G42" s="13">
        <f>IFERROR(AVERAGEIFS(Daten!$T$2:$T$281,Daten!$G$2:$G$281,"absolut",Daten!$B$2:$B$281,2021),"")</f>
        <v>-5.1040693004651597E-2</v>
      </c>
    </row>
    <row r="43" spans="1:7" ht="15" customHeight="1" x14ac:dyDescent="0.35">
      <c r="A43">
        <v>2022</v>
      </c>
      <c r="B43" s="13">
        <f>IFERROR(AVERAGEIFS(Daten!$U$2:$U$281,Daten!$G$2:$G$281,"absolut",Daten!$B$2:$B$281,2022),"")</f>
        <v>0.11994255148940823</v>
      </c>
      <c r="C43">
        <f>COUNTIFS(Daten!$G$2:$G$281,"absolut",Daten!$B$2:$B$281,2022,Daten!$U$2:$U$281,"&gt;=0")</f>
        <v>25</v>
      </c>
      <c r="D43" s="13">
        <f>IFERROR(AVERAGEIFS(Daten!$Y$2:$Y$281,Daten!$B$2:$B$281,2022),"")</f>
        <v>3.4576923076923081E-2</v>
      </c>
      <c r="E43">
        <f>COUNTIFS(Daten!$B$2:$B$281,2022,Daten!$Y$2:$Y$281,"&gt;=0")</f>
        <v>13</v>
      </c>
      <c r="F43" s="13">
        <f>IFERROR(AVERAGEIFS(Daten!$V$2:$V$281,Daten!$B$2:$B$281,2022),"")</f>
        <v>0.33333333333333331</v>
      </c>
      <c r="G43" s="13">
        <f>IFERROR(AVERAGEIFS(Daten!$T$2:$T$281,Daten!$G$2:$G$281,"absolut",Daten!$B$2:$B$281,2022),"")</f>
        <v>7.8482794017671713E-3</v>
      </c>
    </row>
    <row r="44" spans="1:7" ht="15" customHeight="1" x14ac:dyDescent="0.35">
      <c r="A44">
        <v>2023</v>
      </c>
      <c r="B44" s="13">
        <f>IFERROR(AVERAGEIFS(Daten!$U$2:$U$281,Daten!$G$2:$G$281,"absolut",Daten!$B$2:$B$281,2023),"")</f>
        <v>0.21755753676414391</v>
      </c>
      <c r="C44">
        <f>COUNTIFS(Daten!$G$2:$G$281,"absolut",Daten!$B$2:$B$281,2023,Daten!$U$2:$U$281,"&gt;=0")</f>
        <v>27</v>
      </c>
      <c r="D44" s="13">
        <f>IFERROR(AVERAGEIFS(Daten!$Y$2:$Y$281,Daten!$B$2:$B$281,2023),"")</f>
        <v>2.0090909090909093E-2</v>
      </c>
      <c r="E44">
        <f>COUNTIFS(Daten!$B$2:$B$281,2023,Daten!$Y$2:$Y$281,"&gt;=0")</f>
        <v>11</v>
      </c>
      <c r="F44" s="13">
        <f>IFERROR(AVERAGEIFS(Daten!$V$2:$V$281,Daten!$B$2:$B$281,2023),"")</f>
        <v>0.375</v>
      </c>
      <c r="G44" s="13">
        <f>IFERROR(AVERAGEIFS(Daten!$T$2:$T$281,Daten!$G$2:$G$281,"absolut",Daten!$B$2:$B$281,2023),"")</f>
        <v>-0.13856898748222127</v>
      </c>
    </row>
    <row r="45" spans="1:7" ht="15" customHeight="1" x14ac:dyDescent="0.35">
      <c r="A45">
        <v>2024</v>
      </c>
      <c r="B45" s="13">
        <f>IFERROR(AVERAGEIFS(Daten!$U$2:$U$281,Daten!$G$2:$G$281,"absolut",Daten!$B$2:$B$281,2024),"")</f>
        <v>7.4211135471371537E-2</v>
      </c>
      <c r="C45">
        <f>COUNTIFS(Daten!$G$2:$G$281,"absolut",Daten!$B$2:$B$281,2024,Daten!$U$2:$U$281,"&gt;=0")</f>
        <v>26</v>
      </c>
      <c r="D45" s="13">
        <f>IFERROR(AVERAGEIFS(Daten!$Y$2:$Y$281,Daten!$B$2:$B$281,2024),"")</f>
        <v>2.4307692307692308E-2</v>
      </c>
      <c r="E45">
        <f>COUNTIFS(Daten!$B$2:$B$281,2024,Daten!$Y$2:$Y$281,"&gt;=0")</f>
        <v>13</v>
      </c>
      <c r="F45" s="13">
        <f>IFERROR(AVERAGEIFS(Daten!$V$2:$V$281,Daten!$B$2:$B$281,2024),"")</f>
        <v>0.33333333333333331</v>
      </c>
      <c r="G45" s="13">
        <f>IFERROR(AVERAGEIFS(Daten!$T$2:$T$281,Daten!$G$2:$G$281,"absolut",Daten!$B$2:$B$281,2024),"")</f>
        <v>-1.2997236792701037E-2</v>
      </c>
    </row>
    <row r="47" spans="1:7" ht="15" customHeight="1" x14ac:dyDescent="0.35">
      <c r="A47" s="11" t="s">
        <v>159</v>
      </c>
      <c r="B47" s="12"/>
      <c r="C47" s="12"/>
      <c r="D47" s="12"/>
      <c r="E47" s="12"/>
    </row>
    <row r="48" spans="1:7" ht="15" customHeight="1" x14ac:dyDescent="0.35">
      <c r="A48" s="15" t="s">
        <v>160</v>
      </c>
      <c r="B48" s="15" t="s">
        <v>151</v>
      </c>
      <c r="C48" s="15" t="s">
        <v>152</v>
      </c>
      <c r="D48" s="15" t="s">
        <v>153</v>
      </c>
      <c r="E48" s="15" t="s">
        <v>152</v>
      </c>
      <c r="F48" s="15" t="s">
        <v>154</v>
      </c>
    </row>
    <row r="49" spans="1:6" ht="15" customHeight="1" x14ac:dyDescent="0.35">
      <c r="A49" t="s">
        <v>34</v>
      </c>
      <c r="B49" s="13">
        <f>IFERROR(AVERAGEIFS(Daten!$U$2:$U$281,Daten!$G$2:$G$281,"absolut",Daten!$Z$2:$Z$281,"Automobile"),"")</f>
        <v>0.10261253878665093</v>
      </c>
      <c r="C49">
        <f>COUNTIFS(Daten!$G$2:$G$281,"absolut",Daten!$Z$2:$Z$281,"Automobile",Daten!$U$2:$U$281,"&gt;=0")</f>
        <v>5</v>
      </c>
      <c r="D49" s="13">
        <f>IFERROR(AVERAGEIFS(Daten!$Y$2:$Y$281,Daten!$Z$2:$Z$281,"Automobile"),"")</f>
        <v>1.5300000000000003E-2</v>
      </c>
      <c r="E49">
        <f>COUNTIFS(Daten!$Z$2:$Z$281,"Automobile",Daten!$Y$2:$Y$281,"&gt;=0")</f>
        <v>20</v>
      </c>
      <c r="F49" s="13">
        <f>IFERROR(AVERAGEIFS(Daten!$V$2:$V$281,Daten!$Z$2:$Z$281,"Automobile"),"")</f>
        <v>0.36</v>
      </c>
    </row>
    <row r="50" spans="1:6" ht="15" customHeight="1" x14ac:dyDescent="0.35">
      <c r="A50" t="s">
        <v>49</v>
      </c>
      <c r="B50" s="13">
        <f>IFERROR(AVERAGEIFS(Daten!$U$2:$U$281,Daten!$G$2:$G$281,"absolut",Daten!$Z$2:$Z$281,"Banken"),"")</f>
        <v>1.409145404292105E-2</v>
      </c>
      <c r="C50">
        <f>COUNTIFS(Daten!$G$2:$G$281,"absolut",Daten!$Z$2:$Z$281,"Banken",Daten!$U$2:$U$281,"&gt;=0")</f>
        <v>3</v>
      </c>
      <c r="D50" s="13">
        <f>IFERROR(AVERAGEIFS(Daten!$Y$2:$Y$281,Daten!$Z$2:$Z$281,"Banken"),"")</f>
        <v>1.3999999999999999E-2</v>
      </c>
      <c r="E50">
        <f>COUNTIFS(Daten!$Z$2:$Z$281,"Banken",Daten!$Y$2:$Y$281,"&gt;=0")</f>
        <v>1</v>
      </c>
      <c r="F50" s="13">
        <f>IFERROR(AVERAGEIFS(Daten!$V$2:$V$281,Daten!$Z$2:$Z$281,"Banken"),"")</f>
        <v>0.5</v>
      </c>
    </row>
    <row r="51" spans="1:6" ht="15" customHeight="1" x14ac:dyDescent="0.35">
      <c r="A51" t="s">
        <v>79</v>
      </c>
      <c r="B51" s="13">
        <f>IFERROR(AVERAGEIFS(Daten!$U$2:$U$281,Daten!$G$2:$G$281,"absolut",Daten!$Z$2:$Z$281,"Bau"),"")</f>
        <v>9.4877378598538259E-2</v>
      </c>
      <c r="C51">
        <f>COUNTIFS(Daten!$G$2:$G$281,"absolut",Daten!$Z$2:$Z$281,"Bau",Daten!$U$2:$U$281,"&gt;=0")</f>
        <v>2</v>
      </c>
      <c r="D51" s="13" t="str">
        <f>IFERROR(AVERAGEIFS(Daten!$Y$2:$Y$281,Daten!$Z$2:$Z$281,"Bau"),"")</f>
        <v/>
      </c>
      <c r="E51">
        <f>COUNTIFS(Daten!$Z$2:$Z$281,"Bau",Daten!$Y$2:$Y$281,"&gt;=0")</f>
        <v>0</v>
      </c>
      <c r="F51" s="13">
        <f>IFERROR(AVERAGEIFS(Daten!$V$2:$V$281,Daten!$Z$2:$Z$281,"Bau"),"")</f>
        <v>0.5</v>
      </c>
    </row>
    <row r="52" spans="1:6" ht="15" customHeight="1" x14ac:dyDescent="0.35">
      <c r="A52" t="s">
        <v>20</v>
      </c>
      <c r="B52" s="13">
        <f>IFERROR(AVERAGEIFS(Daten!$U$2:$U$281,Daten!$G$2:$G$281,"absolut",Daten!$Z$2:$Z$281,"Chemie"),"")</f>
        <v>0.23755745686894833</v>
      </c>
      <c r="C52">
        <f>COUNTIFS(Daten!$G$2:$G$281,"absolut",Daten!$Z$2:$Z$281,"Chemie",Daten!$U$2:$U$281,"&gt;=0")</f>
        <v>11</v>
      </c>
      <c r="D52" s="13" t="str">
        <f>IFERROR(AVERAGEIFS(Daten!$Y$2:$Y$281,Daten!$Z$2:$Z$281,"Chemie"),"")</f>
        <v/>
      </c>
      <c r="E52">
        <f>COUNTIFS(Daten!$Z$2:$Z$281,"Chemie",Daten!$Y$2:$Y$281,"&gt;=0")</f>
        <v>0</v>
      </c>
      <c r="F52" s="13">
        <f>IFERROR(AVERAGEIFS(Daten!$V$2:$V$281,Daten!$Z$2:$Z$281,"Chemie"),"")</f>
        <v>0.18181818181818182</v>
      </c>
    </row>
    <row r="53" spans="1:6" ht="15" customHeight="1" x14ac:dyDescent="0.35">
      <c r="A53" t="s">
        <v>55</v>
      </c>
      <c r="B53" s="13">
        <f>IFERROR(AVERAGEIFS(Daten!$U$2:$U$281,Daten!$G$2:$G$281,"absolut",Daten!$Z$2:$Z$281,"Finanzdienstleister"),"")</f>
        <v>6.5776439966801326E-2</v>
      </c>
      <c r="C53">
        <f>COUNTIFS(Daten!$G$2:$G$281,"absolut",Daten!$Z$2:$Z$281,"Finanzdienstleister",Daten!$U$2:$U$281,"&gt;=0")</f>
        <v>9</v>
      </c>
      <c r="D53" s="13" t="str">
        <f>IFERROR(AVERAGEIFS(Daten!$Y$2:$Y$281,Daten!$Z$2:$Z$281,"Finanzdienstleister"),"")</f>
        <v/>
      </c>
      <c r="E53">
        <f>COUNTIFS(Daten!$Z$2:$Z$281,"Finanzdienstleister",Daten!$Y$2:$Y$281,"&gt;=0")</f>
        <v>0</v>
      </c>
      <c r="F53" s="13">
        <f>IFERROR(AVERAGEIFS(Daten!$V$2:$V$281,Daten!$Z$2:$Z$281,"Finanzdienstleister"),"")</f>
        <v>0</v>
      </c>
    </row>
    <row r="54" spans="1:6" ht="15" customHeight="1" x14ac:dyDescent="0.35">
      <c r="A54" t="s">
        <v>123</v>
      </c>
      <c r="B54" s="13">
        <f>IFERROR(AVERAGEIFS(Daten!$U$2:$U$281,Daten!$G$2:$G$281,"absolut",Daten!$Z$2:$Z$281,"Immobilien"),"")</f>
        <v>2.108811966339914E-2</v>
      </c>
      <c r="C54">
        <f>COUNTIFS(Daten!$G$2:$G$281,"absolut",Daten!$Z$2:$Z$281,"Immobilien",Daten!$U$2:$U$281,"&gt;=0")</f>
        <v>9</v>
      </c>
      <c r="D54" s="13" t="str">
        <f>IFERROR(AVERAGEIFS(Daten!$Y$2:$Y$281,Daten!$Z$2:$Z$281,"Immobilien"),"")</f>
        <v/>
      </c>
      <c r="E54">
        <f>COUNTIFS(Daten!$Z$2:$Z$281,"Immobilien",Daten!$Y$2:$Y$281,"&gt;=0")</f>
        <v>0</v>
      </c>
      <c r="F54" s="13">
        <f>IFERROR(AVERAGEIFS(Daten!$V$2:$V$281,Daten!$Z$2:$Z$281,"Immobilien"),"")</f>
        <v>0.77777777777777779</v>
      </c>
    </row>
    <row r="55" spans="1:6" ht="15" customHeight="1" x14ac:dyDescent="0.35">
      <c r="A55" t="s">
        <v>99</v>
      </c>
      <c r="B55" s="13">
        <f>IFERROR(AVERAGEIFS(Daten!$U$2:$U$281,Daten!$G$2:$G$281,"absolut",Daten!$Z$2:$Z$281,"Industrie"),"")</f>
        <v>0.14040823394121335</v>
      </c>
      <c r="C55">
        <f>COUNTIFS(Daten!$G$2:$G$281,"absolut",Daten!$Z$2:$Z$281,"Industrie",Daten!$U$2:$U$281,"&gt;=0")</f>
        <v>7</v>
      </c>
      <c r="D55" s="13">
        <f>IFERROR(AVERAGEIFS(Daten!$Y$2:$Y$281,Daten!$Z$2:$Z$281,"Industrie"),"")</f>
        <v>2.4800000000000003E-2</v>
      </c>
      <c r="E55">
        <f>COUNTIFS(Daten!$Z$2:$Z$281,"Industrie",Daten!$Y$2:$Y$281,"&gt;=0")</f>
        <v>5</v>
      </c>
      <c r="F55" s="13">
        <f>IFERROR(AVERAGEIFS(Daten!$V$2:$V$281,Daten!$Z$2:$Z$281,"Industrie"),"")</f>
        <v>0.25</v>
      </c>
    </row>
    <row r="56" spans="1:6" ht="15" customHeight="1" x14ac:dyDescent="0.35">
      <c r="A56" t="s">
        <v>9</v>
      </c>
      <c r="B56" s="13">
        <f>IFERROR(AVERAGEIFS(Daten!$U$2:$U$281,Daten!$G$2:$G$281,"absolut",Daten!$Z$2:$Z$281,"Konsumgueter"),"")</f>
        <v>2.1189843601737017</v>
      </c>
      <c r="C56">
        <f>COUNTIFS(Daten!$G$2:$G$281,"absolut",Daten!$Z$2:$Z$281,"Konsumgueter",Daten!$U$2:$U$281,"&gt;=0")</f>
        <v>2</v>
      </c>
      <c r="D56" s="13">
        <f>IFERROR(AVERAGEIFS(Daten!$Y$2:$Y$281,Daten!$Z$2:$Z$281,"Konsumgueter"),"")</f>
        <v>4.4500000000000005E-2</v>
      </c>
      <c r="E56">
        <f>COUNTIFS(Daten!$Z$2:$Z$281,"Konsumgueter",Daten!$Y$2:$Y$281,"&gt;=0")</f>
        <v>24</v>
      </c>
      <c r="F56" s="13">
        <f>IFERROR(AVERAGEIFS(Daten!$V$2:$V$281,Daten!$Z$2:$Z$281,"Konsumgueter"),"")</f>
        <v>0.19047619047619047</v>
      </c>
    </row>
    <row r="57" spans="1:6" ht="15" customHeight="1" x14ac:dyDescent="0.35">
      <c r="A57" t="s">
        <v>24</v>
      </c>
      <c r="B57" s="13">
        <f>IFERROR(AVERAGEIFS(Daten!$U$2:$U$281,Daten!$G$2:$G$281,"absolut",Daten!$Z$2:$Z$281,"Pharma &amp; Healthcare"),"")</f>
        <v>6.2476361367069438E-2</v>
      </c>
      <c r="C57">
        <f>COUNTIFS(Daten!$G$2:$G$281,"absolut",Daten!$Z$2:$Z$281,"Pharma &amp; Healthcare",Daten!$U$2:$U$281,"&gt;=0")</f>
        <v>27</v>
      </c>
      <c r="D57" s="13">
        <f>IFERROR(AVERAGEIFS(Daten!$Y$2:$Y$281,Daten!$Z$2:$Z$281,"Pharma &amp; Healthcare"),"")</f>
        <v>1.100000000000001E-2</v>
      </c>
      <c r="E57">
        <f>COUNTIFS(Daten!$Z$2:$Z$281,"Pharma &amp; Healthcare",Daten!$Y$2:$Y$281,"&gt;=0")</f>
        <v>2</v>
      </c>
      <c r="F57" s="13">
        <f>IFERROR(AVERAGEIFS(Daten!$V$2:$V$281,Daten!$Z$2:$Z$281,"Pharma &amp; Healthcare"),"")</f>
        <v>0.19230769230769232</v>
      </c>
    </row>
    <row r="58" spans="1:6" ht="15" customHeight="1" x14ac:dyDescent="0.35">
      <c r="A58" t="s">
        <v>87</v>
      </c>
      <c r="B58" s="13">
        <f>IFERROR(AVERAGEIFS(Daten!$U$2:$U$281,Daten!$G$2:$G$281,"absolut",Daten!$Z$2:$Z$281,"Technologie"),"")</f>
        <v>5.1606701743121541E-2</v>
      </c>
      <c r="C58">
        <f>COUNTIFS(Daten!$G$2:$G$281,"absolut",Daten!$Z$2:$Z$281,"Technologie",Daten!$U$2:$U$281,"&gt;=0")</f>
        <v>14</v>
      </c>
      <c r="D58" s="13">
        <f>IFERROR(AVERAGEIFS(Daten!$Y$2:$Y$281,Daten!$Z$2:$Z$281,"Technologie"),"")</f>
        <v>2.8000000000000004E-2</v>
      </c>
      <c r="E58">
        <f>COUNTIFS(Daten!$Z$2:$Z$281,"Technologie",Daten!$Y$2:$Y$281,"&gt;=0")</f>
        <v>4</v>
      </c>
      <c r="F58" s="13">
        <f>IFERROR(AVERAGEIFS(Daten!$V$2:$V$281,Daten!$Z$2:$Z$281,"Technologie"),"")</f>
        <v>0.14285714285714285</v>
      </c>
    </row>
    <row r="59" spans="1:6" ht="15" customHeight="1" x14ac:dyDescent="0.35">
      <c r="A59" t="s">
        <v>64</v>
      </c>
      <c r="B59" s="13">
        <f>IFERROR(AVERAGEIFS(Daten!$U$2:$U$281,Daten!$G$2:$G$281,"absolut",Daten!$Z$2:$Z$281,"Telekommunikation"),"")</f>
        <v>7.624885133374236E-2</v>
      </c>
      <c r="C59">
        <f>COUNTIFS(Daten!$G$2:$G$281,"absolut",Daten!$Z$2:$Z$281,"Telekommunikation",Daten!$U$2:$U$281,"&gt;=0")</f>
        <v>5</v>
      </c>
      <c r="D59" s="13" t="str">
        <f>IFERROR(AVERAGEIFS(Daten!$Y$2:$Y$281,Daten!$Z$2:$Z$281,"Telekommunikation"),"")</f>
        <v/>
      </c>
      <c r="E59">
        <f>COUNTIFS(Daten!$Z$2:$Z$281,"Telekommunikation",Daten!$Y$2:$Y$281,"&gt;=0")</f>
        <v>0</v>
      </c>
      <c r="F59" s="13" t="str">
        <f>IFERROR(AVERAGEIFS(Daten!$V$2:$V$281,Daten!$Z$2:$Z$281,"Telekommunikation"),"")</f>
        <v/>
      </c>
    </row>
    <row r="60" spans="1:6" ht="15" customHeight="1" x14ac:dyDescent="0.35">
      <c r="A60" t="s">
        <v>59</v>
      </c>
      <c r="B60" s="13">
        <f>IFERROR(AVERAGEIFS(Daten!$U$2:$U$281,Daten!$G$2:$G$281,"absolut",Daten!$Z$2:$Z$281,"Transport &amp; Logistik"),"")</f>
        <v>9.7765671240247529E-2</v>
      </c>
      <c r="C60">
        <f>COUNTIFS(Daten!$G$2:$G$281,"absolut",Daten!$Z$2:$Z$281,"Transport &amp; Logistik",Daten!$U$2:$U$281,"&gt;=0")</f>
        <v>5</v>
      </c>
      <c r="D60" s="13" t="str">
        <f>IFERROR(AVERAGEIFS(Daten!$Y$2:$Y$281,Daten!$Z$2:$Z$281,"Transport &amp; Logistik"),"")</f>
        <v/>
      </c>
      <c r="E60">
        <f>COUNTIFS(Daten!$Z$2:$Z$281,"Transport &amp; Logistik",Daten!$Y$2:$Y$281,"&gt;=0")</f>
        <v>0</v>
      </c>
      <c r="F60" s="13">
        <f>IFERROR(AVERAGEIFS(Daten!$V$2:$V$281,Daten!$Z$2:$Z$281,"Transport &amp; Logistik"),"")</f>
        <v>0.66666666666666663</v>
      </c>
    </row>
    <row r="61" spans="1:6" ht="15" customHeight="1" x14ac:dyDescent="0.35">
      <c r="A61" t="s">
        <v>14</v>
      </c>
      <c r="B61" s="13">
        <f>IFERROR(AVERAGEIFS(Daten!$U$2:$U$281,Daten!$G$2:$G$281,"absolut",Daten!$Z$2:$Z$281,"Versicherungen"),"")</f>
        <v>0.17760301518693472</v>
      </c>
      <c r="C61">
        <f>COUNTIFS(Daten!$G$2:$G$281,"absolut",Daten!$Z$2:$Z$281,"Versicherungen",Daten!$U$2:$U$281,"&gt;=0")</f>
        <v>10</v>
      </c>
      <c r="D61" s="13">
        <f>IFERROR(AVERAGEIFS(Daten!$Y$2:$Y$281,Daten!$Z$2:$Z$281,"Versicherungen"),"")</f>
        <v>3.15E-2</v>
      </c>
      <c r="E61">
        <f>COUNTIFS(Daten!$Z$2:$Z$281,"Versicherungen",Daten!$Y$2:$Y$281,"&gt;=0")</f>
        <v>2</v>
      </c>
      <c r="F61" s="13">
        <f>IFERROR(AVERAGEIFS(Daten!$V$2:$V$281,Daten!$Z$2:$Z$281,"Versicherungen"),"")</f>
        <v>0.4</v>
      </c>
    </row>
    <row r="62" spans="1:6" ht="15" customHeight="1" x14ac:dyDescent="0.35">
      <c r="A62" t="s">
        <v>68</v>
      </c>
      <c r="B62" s="13">
        <f>IFERROR(AVERAGEIFS(Daten!$U$2:$U$281,Daten!$G$2:$G$281,"absolut",Daten!$Z$2:$Z$281,"Versorger"),"")</f>
        <v>0.14824755839302056</v>
      </c>
      <c r="C62">
        <f>COUNTIFS(Daten!$G$2:$G$281,"absolut",Daten!$Z$2:$Z$281,"Versorger",Daten!$U$2:$U$281,"&gt;=0")</f>
        <v>10</v>
      </c>
      <c r="D62" s="13" t="str">
        <f>IFERROR(AVERAGEIFS(Daten!$Y$2:$Y$281,Daten!$Z$2:$Z$281,"Versorger"),"")</f>
        <v/>
      </c>
      <c r="E62">
        <f>COUNTIFS(Daten!$Z$2:$Z$281,"Versorger",Daten!$Y$2:$Y$281,"&gt;=0")</f>
        <v>0</v>
      </c>
      <c r="F62" s="13">
        <f>IFERROR(AVERAGEIFS(Daten!$V$2:$V$281,Daten!$Z$2:$Z$281,"Versorger"),"")</f>
        <v>0.2</v>
      </c>
    </row>
    <row r="64" spans="1:6" ht="15" customHeight="1" x14ac:dyDescent="0.35">
      <c r="A64" s="11" t="s">
        <v>161</v>
      </c>
      <c r="B64" s="12"/>
      <c r="C64" s="12"/>
      <c r="D64" s="12"/>
      <c r="E64" s="12"/>
    </row>
    <row r="65" spans="1:7" ht="15" customHeight="1" x14ac:dyDescent="0.35">
      <c r="A65" s="15" t="s">
        <v>162</v>
      </c>
      <c r="B65" s="15" t="s">
        <v>151</v>
      </c>
      <c r="C65" s="15" t="s">
        <v>152</v>
      </c>
      <c r="D65" s="15" t="s">
        <v>153</v>
      </c>
      <c r="E65" s="15" t="s">
        <v>152</v>
      </c>
      <c r="F65" s="15" t="s">
        <v>154</v>
      </c>
      <c r="G65" s="15" t="s">
        <v>163</v>
      </c>
    </row>
    <row r="66" spans="1:7" ht="15" customHeight="1" x14ac:dyDescent="0.35">
      <c r="A66" t="s">
        <v>7</v>
      </c>
      <c r="B66" s="13">
        <f>IFERROR(AVERAGEIFS(Daten!$U$2:$U$281,Daten!$G$2:$G$281,"absolut",Daten!$A$2:$A$281,"ADS"),"")</f>
        <v>2.1189843601737017</v>
      </c>
      <c r="C66">
        <f>COUNTIFS(Daten!$G$2:$G$281,"absolut",Daten!$A$2:$A$281,"ADS",Daten!$U$2:$U$281,"&gt;=0")</f>
        <v>2</v>
      </c>
      <c r="D66" s="13">
        <f>IFERROR(AVERAGEIFS(Daten!$Y$2:$Y$281,Daten!$A$2:$A$281,"ADS"),"")</f>
        <v>8.0874999999999989E-2</v>
      </c>
      <c r="E66">
        <f>COUNTIFS(Daten!$A$2:$A$281,"ADS",Daten!$Y$2:$Y$281,"&gt;=0")</f>
        <v>8</v>
      </c>
      <c r="F66" s="13">
        <f>IFERROR(AVERAGEIFS(Daten!$V$2:$V$281,Daten!$A$2:$A$281,"ADS"),"")</f>
        <v>0.25</v>
      </c>
      <c r="G66">
        <f>COUNTIFS(Daten!$A$2:$A$281,"ADS",Daten!$F$2:$F$281,"qualitativ")+COUNTIFS(Daten!$A$2:$A$281,"ADS",Daten!$F$2:$F$281,"fehlend")</f>
        <v>0</v>
      </c>
    </row>
    <row r="67" spans="1:7" ht="15" customHeight="1" x14ac:dyDescent="0.35">
      <c r="A67" t="s">
        <v>12</v>
      </c>
      <c r="B67" s="13">
        <f>IFERROR(AVERAGEIFS(Daten!$U$2:$U$281,Daten!$G$2:$G$281,"absolut",Daten!$A$2:$A$281,"ALV"),"")</f>
        <v>7.6721204397936976E-2</v>
      </c>
      <c r="C67">
        <f>COUNTIFS(Daten!$G$2:$G$281,"absolut",Daten!$A$2:$A$281,"ALV",Daten!$U$2:$U$281,"&gt;=0")</f>
        <v>5</v>
      </c>
      <c r="D67" s="13">
        <f>IFERROR(AVERAGEIFS(Daten!$Y$2:$Y$281,Daten!$A$2:$A$281,"ALV"),"")</f>
        <v>3.15E-2</v>
      </c>
      <c r="E67">
        <f>COUNTIFS(Daten!$A$2:$A$281,"ALV",Daten!$Y$2:$Y$281,"&gt;=0")</f>
        <v>2</v>
      </c>
      <c r="F67" s="13">
        <f>IFERROR(AVERAGEIFS(Daten!$V$2:$V$281,Daten!$A$2:$A$281,"ALV"),"")</f>
        <v>0.4</v>
      </c>
      <c r="G67">
        <f>COUNTIFS(Daten!$A$2:$A$281,"ALV",Daten!$F$2:$F$281,"qualitativ")+COUNTIFS(Daten!$A$2:$A$281,"ALV",Daten!$F$2:$F$281,"fehlend")</f>
        <v>3</v>
      </c>
    </row>
    <row r="68" spans="1:7" ht="15" customHeight="1" x14ac:dyDescent="0.35">
      <c r="A68" t="s">
        <v>18</v>
      </c>
      <c r="B68" s="13">
        <f>IFERROR(AVERAGEIFS(Daten!$U$2:$U$281,Daten!$G$2:$G$281,"absolut",Daten!$A$2:$A$281,"BAS"),"")</f>
        <v>0.18873698806354486</v>
      </c>
      <c r="C68">
        <f>COUNTIFS(Daten!$G$2:$G$281,"absolut",Daten!$A$2:$A$281,"BAS",Daten!$U$2:$U$281,"&gt;=0")</f>
        <v>9</v>
      </c>
      <c r="D68" s="13" t="str">
        <f>IFERROR(AVERAGEIFS(Daten!$Y$2:$Y$281,Daten!$A$2:$A$281,"BAS"),"")</f>
        <v/>
      </c>
      <c r="E68">
        <f>COUNTIFS(Daten!$A$2:$A$281,"BAS",Daten!$Y$2:$Y$281,"&gt;=0")</f>
        <v>0</v>
      </c>
      <c r="F68" s="13">
        <f>IFERROR(AVERAGEIFS(Daten!$V$2:$V$281,Daten!$A$2:$A$281,"BAS"),"")</f>
        <v>0.1111111111111111</v>
      </c>
      <c r="G68">
        <f>COUNTIFS(Daten!$A$2:$A$281,"BAS",Daten!$F$2:$F$281,"qualitativ")+COUNTIFS(Daten!$A$2:$A$281,"BAS",Daten!$F$2:$F$281,"fehlend")</f>
        <v>1</v>
      </c>
    </row>
    <row r="69" spans="1:7" ht="15" customHeight="1" x14ac:dyDescent="0.35">
      <c r="A69" t="s">
        <v>22</v>
      </c>
      <c r="B69" s="13">
        <f>IFERROR(AVERAGEIFS(Daten!$U$2:$U$281,Daten!$G$2:$G$281,"absolut",Daten!$A$2:$A$281,"BAYN"),"")</f>
        <v>6.3146919346575431E-2</v>
      </c>
      <c r="C69">
        <f>COUNTIFS(Daten!$G$2:$G$281,"absolut",Daten!$A$2:$A$281,"BAYN",Daten!$U$2:$U$281,"&gt;=0")</f>
        <v>8</v>
      </c>
      <c r="D69" s="13">
        <f>IFERROR(AVERAGEIFS(Daten!$Y$2:$Y$281,Daten!$A$2:$A$281,"BAYN"),"")</f>
        <v>1.100000000000001E-2</v>
      </c>
      <c r="E69">
        <f>COUNTIFS(Daten!$A$2:$A$281,"BAYN",Daten!$Y$2:$Y$281,"&gt;=0")</f>
        <v>2</v>
      </c>
      <c r="F69" s="13">
        <f>IFERROR(AVERAGEIFS(Daten!$V$2:$V$281,Daten!$A$2:$A$281,"BAYN"),"")</f>
        <v>0.14285714285714285</v>
      </c>
      <c r="G69">
        <f>COUNTIFS(Daten!$A$2:$A$281,"BAYN",Daten!$F$2:$F$281,"qualitativ")+COUNTIFS(Daten!$A$2:$A$281,"BAYN",Daten!$F$2:$F$281,"fehlend")</f>
        <v>0</v>
      </c>
    </row>
    <row r="70" spans="1:7" ht="15" customHeight="1" x14ac:dyDescent="0.35">
      <c r="A70" t="s">
        <v>27</v>
      </c>
      <c r="B70" s="13" t="str">
        <f>IFERROR(AVERAGEIFS(Daten!$U$2:$U$281,Daten!$G$2:$G$281,"absolut",Daten!$A$2:$A$281,"BEI"),"")</f>
        <v/>
      </c>
      <c r="C70">
        <f>COUNTIFS(Daten!$G$2:$G$281,"absolut",Daten!$A$2:$A$281,"BEI",Daten!$U$2:$U$281,"&gt;=0")</f>
        <v>0</v>
      </c>
      <c r="D70" s="13">
        <f>IFERROR(AVERAGEIFS(Daten!$Y$2:$Y$281,Daten!$A$2:$A$281,"BEI"),"")</f>
        <v>3.4916666666666672E-2</v>
      </c>
      <c r="E70">
        <f>COUNTIFS(Daten!$A$2:$A$281,"BEI",Daten!$Y$2:$Y$281,"&gt;=0")</f>
        <v>6</v>
      </c>
      <c r="F70" s="13">
        <f>IFERROR(AVERAGEIFS(Daten!$V$2:$V$281,Daten!$A$2:$A$281,"BEI"),"")</f>
        <v>0</v>
      </c>
      <c r="G70">
        <f>COUNTIFS(Daten!$A$2:$A$281,"BEI",Daten!$F$2:$F$281,"qualitativ")+COUNTIFS(Daten!$A$2:$A$281,"BEI",Daten!$F$2:$F$281,"fehlend")</f>
        <v>4</v>
      </c>
    </row>
    <row r="71" spans="1:7" ht="15" customHeight="1" x14ac:dyDescent="0.35">
      <c r="A71" t="s">
        <v>32</v>
      </c>
      <c r="B71" s="13" t="str">
        <f>IFERROR(AVERAGEIFS(Daten!$U$2:$U$281,Daten!$G$2:$G$281,"absolut",Daten!$A$2:$A$281,"BMW"),"")</f>
        <v/>
      </c>
      <c r="C71">
        <f>COUNTIFS(Daten!$G$2:$G$281,"absolut",Daten!$A$2:$A$281,"BMW",Daten!$U$2:$U$281,"&gt;=0")</f>
        <v>0</v>
      </c>
      <c r="D71" s="13">
        <f>IFERROR(AVERAGEIFS(Daten!$Y$2:$Y$281,Daten!$A$2:$A$281,"BMW"),"")</f>
        <v>1.5399999999999997E-2</v>
      </c>
      <c r="E71">
        <f>COUNTIFS(Daten!$A$2:$A$281,"BMW",Daten!$Y$2:$Y$281,"&gt;=0")</f>
        <v>5</v>
      </c>
      <c r="F71" s="13">
        <f>IFERROR(AVERAGEIFS(Daten!$V$2:$V$281,Daten!$A$2:$A$281,"BMW"),"")</f>
        <v>0.6</v>
      </c>
      <c r="G71">
        <f>COUNTIFS(Daten!$A$2:$A$281,"BMW",Daten!$F$2:$F$281,"qualitativ")+COUNTIFS(Daten!$A$2:$A$281,"BMW",Daten!$F$2:$F$281,"fehlend")</f>
        <v>5</v>
      </c>
    </row>
    <row r="72" spans="1:7" ht="15" customHeight="1" x14ac:dyDescent="0.35">
      <c r="A72" t="s">
        <v>38</v>
      </c>
      <c r="B72" s="13">
        <f>IFERROR(AVERAGEIFS(Daten!$U$2:$U$281,Daten!$G$2:$G$281,"absolut",Daten!$A$2:$A$281,"CON"),"")</f>
        <v>0.10261253878665093</v>
      </c>
      <c r="C72">
        <f>COUNTIFS(Daten!$G$2:$G$281,"absolut",Daten!$A$2:$A$281,"CON",Daten!$U$2:$U$281,"&gt;=0")</f>
        <v>5</v>
      </c>
      <c r="D72" s="13">
        <f>IFERROR(AVERAGEIFS(Daten!$Y$2:$Y$281,Daten!$A$2:$A$281,"CON"),"")</f>
        <v>7.9999999999999984E-3</v>
      </c>
      <c r="E72">
        <f>COUNTIFS(Daten!$A$2:$A$281,"CON",Daten!$Y$2:$Y$281,"&gt;=0")</f>
        <v>5</v>
      </c>
      <c r="F72" s="13">
        <f>IFERROR(AVERAGEIFS(Daten!$V$2:$V$281,Daten!$A$2:$A$281,"CON"),"")</f>
        <v>0.4</v>
      </c>
      <c r="G72">
        <f>COUNTIFS(Daten!$A$2:$A$281,"CON",Daten!$F$2:$F$281,"qualitativ")+COUNTIFS(Daten!$A$2:$A$281,"CON",Daten!$F$2:$F$281,"fehlend")</f>
        <v>0</v>
      </c>
    </row>
    <row r="73" spans="1:7" ht="15" customHeight="1" x14ac:dyDescent="0.35">
      <c r="A73" t="s">
        <v>40</v>
      </c>
      <c r="B73" s="13">
        <f>IFERROR(AVERAGEIFS(Daten!$U$2:$U$281,Daten!$G$2:$G$281,"absolut",Daten!$A$2:$A$281,"1COV"),"")</f>
        <v>0.45724956649326398</v>
      </c>
      <c r="C73">
        <f>COUNTIFS(Daten!$G$2:$G$281,"absolut",Daten!$A$2:$A$281,"1COV",Daten!$U$2:$U$281,"&gt;=0")</f>
        <v>2</v>
      </c>
      <c r="D73" s="13" t="str">
        <f>IFERROR(AVERAGEIFS(Daten!$Y$2:$Y$281,Daten!$A$2:$A$281,"1COV"),"")</f>
        <v/>
      </c>
      <c r="E73">
        <f>COUNTIFS(Daten!$A$2:$A$281,"1COV",Daten!$Y$2:$Y$281,"&gt;=0")</f>
        <v>0</v>
      </c>
      <c r="F73" s="13">
        <f>IFERROR(AVERAGEIFS(Daten!$V$2:$V$281,Daten!$A$2:$A$281,"1COV"),"")</f>
        <v>0.5</v>
      </c>
      <c r="G73">
        <f>COUNTIFS(Daten!$A$2:$A$281,"1COV",Daten!$F$2:$F$281,"qualitativ")+COUNTIFS(Daten!$A$2:$A$281,"1COV",Daten!$F$2:$F$281,"fehlend")</f>
        <v>8</v>
      </c>
    </row>
    <row r="74" spans="1:7" ht="15" customHeight="1" x14ac:dyDescent="0.35">
      <c r="A74" t="s">
        <v>43</v>
      </c>
      <c r="B74" s="13" t="str">
        <f>IFERROR(AVERAGEIFS(Daten!$U$2:$U$281,Daten!$G$2:$G$281,"absolut",Daten!$A$2:$A$281,"DAI"),"")</f>
        <v/>
      </c>
      <c r="C74">
        <f>COUNTIFS(Daten!$G$2:$G$281,"absolut",Daten!$A$2:$A$281,"DAI",Daten!$U$2:$U$281,"&gt;=0")</f>
        <v>0</v>
      </c>
      <c r="D74" s="13">
        <f>IFERROR(AVERAGEIFS(Daten!$Y$2:$Y$281,Daten!$A$2:$A$281,"DAI"),"")</f>
        <v>2.35E-2</v>
      </c>
      <c r="E74">
        <f>COUNTIFS(Daten!$A$2:$A$281,"DAI",Daten!$Y$2:$Y$281,"&gt;=0")</f>
        <v>5</v>
      </c>
      <c r="F74" s="13">
        <f>IFERROR(AVERAGEIFS(Daten!$V$2:$V$281,Daten!$A$2:$A$281,"DAI"),"")</f>
        <v>0.2</v>
      </c>
      <c r="G74">
        <f>COUNTIFS(Daten!$A$2:$A$281,"DAI",Daten!$F$2:$F$281,"qualitativ")+COUNTIFS(Daten!$A$2:$A$281,"DAI",Daten!$F$2:$F$281,"fehlend")</f>
        <v>5</v>
      </c>
    </row>
    <row r="75" spans="1:7" ht="15" customHeight="1" x14ac:dyDescent="0.35">
      <c r="A75" t="s">
        <v>47</v>
      </c>
      <c r="B75" s="13">
        <f>IFERROR(AVERAGEIFS(Daten!$U$2:$U$281,Daten!$G$2:$G$281,"absolut",Daten!$A$2:$A$281,"DBK"),"")</f>
        <v>1.409145404292105E-2</v>
      </c>
      <c r="C75">
        <f>COUNTIFS(Daten!$G$2:$G$281,"absolut",Daten!$A$2:$A$281,"DBK",Daten!$U$2:$U$281,"&gt;=0")</f>
        <v>3</v>
      </c>
      <c r="D75" s="13">
        <f>IFERROR(AVERAGEIFS(Daten!$Y$2:$Y$281,Daten!$A$2:$A$281,"DBK"),"")</f>
        <v>1.3999999999999999E-2</v>
      </c>
      <c r="E75">
        <f>COUNTIFS(Daten!$A$2:$A$281,"DBK",Daten!$Y$2:$Y$281,"&gt;=0")</f>
        <v>1</v>
      </c>
      <c r="F75" s="13">
        <f>IFERROR(AVERAGEIFS(Daten!$V$2:$V$281,Daten!$A$2:$A$281,"DBK"),"")</f>
        <v>0.5</v>
      </c>
      <c r="G75">
        <f>COUNTIFS(Daten!$A$2:$A$281,"DBK",Daten!$F$2:$F$281,"qualitativ")+COUNTIFS(Daten!$A$2:$A$281,"DBK",Daten!$F$2:$F$281,"fehlend")</f>
        <v>6</v>
      </c>
    </row>
    <row r="76" spans="1:7" ht="15" customHeight="1" x14ac:dyDescent="0.35">
      <c r="A76" t="s">
        <v>53</v>
      </c>
      <c r="B76" s="13">
        <f>IFERROR(AVERAGEIFS(Daten!$U$2:$U$281,Daten!$G$2:$G$281,"absolut",Daten!$A$2:$A$281,"DB1"),"")</f>
        <v>6.5776439966801326E-2</v>
      </c>
      <c r="C76">
        <f>COUNTIFS(Daten!$G$2:$G$281,"absolut",Daten!$A$2:$A$281,"DB1",Daten!$U$2:$U$281,"&gt;=0")</f>
        <v>9</v>
      </c>
      <c r="D76" s="13" t="str">
        <f>IFERROR(AVERAGEIFS(Daten!$Y$2:$Y$281,Daten!$A$2:$A$281,"DB1"),"")</f>
        <v/>
      </c>
      <c r="E76">
        <f>COUNTIFS(Daten!$A$2:$A$281,"DB1",Daten!$Y$2:$Y$281,"&gt;=0")</f>
        <v>0</v>
      </c>
      <c r="F76" s="13">
        <f>IFERROR(AVERAGEIFS(Daten!$V$2:$V$281,Daten!$A$2:$A$281,"DB1"),"")</f>
        <v>0</v>
      </c>
      <c r="G76">
        <f>COUNTIFS(Daten!$A$2:$A$281,"DB1",Daten!$F$2:$F$281,"qualitativ")+COUNTIFS(Daten!$A$2:$A$281,"DB1",Daten!$F$2:$F$281,"fehlend")</f>
        <v>1</v>
      </c>
    </row>
    <row r="77" spans="1:7" ht="15" customHeight="1" x14ac:dyDescent="0.35">
      <c r="A77" t="s">
        <v>57</v>
      </c>
      <c r="B77" s="13">
        <f>IFERROR(AVERAGEIFS(Daten!$U$2:$U$281,Daten!$G$2:$G$281,"absolut",Daten!$A$2:$A$281,"DPW"),"")</f>
        <v>9.7765671240247529E-2</v>
      </c>
      <c r="C77">
        <f>COUNTIFS(Daten!$G$2:$G$281,"absolut",Daten!$A$2:$A$281,"DPW",Daten!$U$2:$U$281,"&gt;=0")</f>
        <v>5</v>
      </c>
      <c r="D77" s="13" t="str">
        <f>IFERROR(AVERAGEIFS(Daten!$Y$2:$Y$281,Daten!$A$2:$A$281,"DPW"),"")</f>
        <v/>
      </c>
      <c r="E77">
        <f>COUNTIFS(Daten!$A$2:$A$281,"DPW",Daten!$Y$2:$Y$281,"&gt;=0")</f>
        <v>0</v>
      </c>
      <c r="F77" s="13">
        <f>IFERROR(AVERAGEIFS(Daten!$V$2:$V$281,Daten!$A$2:$A$281,"DPW"),"")</f>
        <v>0.66666666666666663</v>
      </c>
      <c r="G77">
        <f>COUNTIFS(Daten!$A$2:$A$281,"DPW",Daten!$F$2:$F$281,"qualitativ")+COUNTIFS(Daten!$A$2:$A$281,"DPW",Daten!$F$2:$F$281,"fehlend")</f>
        <v>5</v>
      </c>
    </row>
    <row r="78" spans="1:7" ht="15" customHeight="1" x14ac:dyDescent="0.35">
      <c r="A78" t="s">
        <v>62</v>
      </c>
      <c r="B78" s="13">
        <f>IFERROR(AVERAGEIFS(Daten!$U$2:$U$281,Daten!$G$2:$G$281,"absolut",Daten!$A$2:$A$281,"DTE"),"")</f>
        <v>7.624885133374236E-2</v>
      </c>
      <c r="C78">
        <f>COUNTIFS(Daten!$G$2:$G$281,"absolut",Daten!$A$2:$A$281,"DTE",Daten!$U$2:$U$281,"&gt;=0")</f>
        <v>5</v>
      </c>
      <c r="D78" s="13" t="str">
        <f>IFERROR(AVERAGEIFS(Daten!$Y$2:$Y$281,Daten!$A$2:$A$281,"DTE"),"")</f>
        <v/>
      </c>
      <c r="E78">
        <f>COUNTIFS(Daten!$A$2:$A$281,"DTE",Daten!$Y$2:$Y$281,"&gt;=0")</f>
        <v>0</v>
      </c>
      <c r="F78" s="13" t="str">
        <f>IFERROR(AVERAGEIFS(Daten!$V$2:$V$281,Daten!$A$2:$A$281,"DTE"),"")</f>
        <v/>
      </c>
      <c r="G78">
        <f>COUNTIFS(Daten!$A$2:$A$281,"DTE",Daten!$F$2:$F$281,"qualitativ")+COUNTIFS(Daten!$A$2:$A$281,"DTE",Daten!$F$2:$F$281,"fehlend")</f>
        <v>5</v>
      </c>
    </row>
    <row r="79" spans="1:7" ht="15" customHeight="1" x14ac:dyDescent="0.35">
      <c r="A79" t="s">
        <v>66</v>
      </c>
      <c r="B79" s="13">
        <f>IFERROR(AVERAGEIFS(Daten!$U$2:$U$281,Daten!$G$2:$G$281,"absolut",Daten!$A$2:$A$281,"EOAN"),"")</f>
        <v>8.858252803008311E-2</v>
      </c>
      <c r="C79">
        <f>COUNTIFS(Daten!$G$2:$G$281,"absolut",Daten!$A$2:$A$281,"EOAN",Daten!$U$2:$U$281,"&gt;=0")</f>
        <v>5</v>
      </c>
      <c r="D79" s="13" t="str">
        <f>IFERROR(AVERAGEIFS(Daten!$Y$2:$Y$281,Daten!$A$2:$A$281,"EOAN"),"")</f>
        <v/>
      </c>
      <c r="E79">
        <f>COUNTIFS(Daten!$A$2:$A$281,"EOAN",Daten!$Y$2:$Y$281,"&gt;=0")</f>
        <v>0</v>
      </c>
      <c r="F79" s="13">
        <f>IFERROR(AVERAGEIFS(Daten!$V$2:$V$281,Daten!$A$2:$A$281,"EOAN"),"")</f>
        <v>0.2</v>
      </c>
      <c r="G79">
        <f>COUNTIFS(Daten!$A$2:$A$281,"EOAN",Daten!$F$2:$F$281,"qualitativ")+COUNTIFS(Daten!$A$2:$A$281,"EOAN",Daten!$F$2:$F$281,"fehlend")</f>
        <v>5</v>
      </c>
    </row>
    <row r="80" spans="1:7" ht="15" customHeight="1" x14ac:dyDescent="0.35">
      <c r="A80" t="s">
        <v>71</v>
      </c>
      <c r="B80" s="13">
        <f>IFERROR(AVERAGEIFS(Daten!$U$2:$U$281,Daten!$G$2:$G$281,"absolut",Daten!$A$2:$A$281,"FRE"),"")</f>
        <v>4.1109190009887372E-2</v>
      </c>
      <c r="C80">
        <f>COUNTIFS(Daten!$G$2:$G$281,"absolut",Daten!$A$2:$A$281,"FRE",Daten!$U$2:$U$281,"&gt;=0")</f>
        <v>9</v>
      </c>
      <c r="D80" s="13" t="str">
        <f>IFERROR(AVERAGEIFS(Daten!$Y$2:$Y$281,Daten!$A$2:$A$281,"FRE"),"")</f>
        <v/>
      </c>
      <c r="E80">
        <f>COUNTIFS(Daten!$A$2:$A$281,"FRE",Daten!$Y$2:$Y$281,"&gt;=0")</f>
        <v>0</v>
      </c>
      <c r="F80" s="13">
        <f>IFERROR(AVERAGEIFS(Daten!$V$2:$V$281,Daten!$A$2:$A$281,"FRE"),"")</f>
        <v>0.22222222222222221</v>
      </c>
      <c r="G80">
        <f>COUNTIFS(Daten!$A$2:$A$281,"FRE",Daten!$F$2:$F$281,"qualitativ")+COUNTIFS(Daten!$A$2:$A$281,"FRE",Daten!$F$2:$F$281,"fehlend")</f>
        <v>6</v>
      </c>
    </row>
    <row r="81" spans="1:7" ht="15" customHeight="1" x14ac:dyDescent="0.35">
      <c r="A81" t="s">
        <v>75</v>
      </c>
      <c r="B81" s="13">
        <f>IFERROR(AVERAGEIFS(Daten!$U$2:$U$281,Daten!$G$2:$G$281,"absolut",Daten!$A$2:$A$281,"FME"),"")</f>
        <v>8.1170369204928455E-2</v>
      </c>
      <c r="C81">
        <f>COUNTIFS(Daten!$G$2:$G$281,"absolut",Daten!$A$2:$A$281,"FME",Daten!$U$2:$U$281,"&gt;=0")</f>
        <v>10</v>
      </c>
      <c r="D81" s="13" t="str">
        <f>IFERROR(AVERAGEIFS(Daten!$Y$2:$Y$281,Daten!$A$2:$A$281,"FME"),"")</f>
        <v/>
      </c>
      <c r="E81">
        <f>COUNTIFS(Daten!$A$2:$A$281,"FME",Daten!$Y$2:$Y$281,"&gt;=0")</f>
        <v>0</v>
      </c>
      <c r="F81" s="13">
        <f>IFERROR(AVERAGEIFS(Daten!$V$2:$V$281,Daten!$A$2:$A$281,"FME"),"")</f>
        <v>0.2</v>
      </c>
      <c r="G81">
        <f>COUNTIFS(Daten!$A$2:$A$281,"FME",Daten!$F$2:$F$281,"qualitativ")+COUNTIFS(Daten!$A$2:$A$281,"FME",Daten!$F$2:$F$281,"fehlend")</f>
        <v>0</v>
      </c>
    </row>
    <row r="82" spans="1:7" ht="15" customHeight="1" x14ac:dyDescent="0.35">
      <c r="A82" t="s">
        <v>77</v>
      </c>
      <c r="B82" s="13">
        <f>IFERROR(AVERAGEIFS(Daten!$U$2:$U$281,Daten!$G$2:$G$281,"absolut",Daten!$A$2:$A$281,"HEI"),"")</f>
        <v>9.4877378598538259E-2</v>
      </c>
      <c r="C82">
        <f>COUNTIFS(Daten!$G$2:$G$281,"absolut",Daten!$A$2:$A$281,"HEI",Daten!$U$2:$U$281,"&gt;=0")</f>
        <v>2</v>
      </c>
      <c r="D82" s="13" t="str">
        <f>IFERROR(AVERAGEIFS(Daten!$Y$2:$Y$281,Daten!$A$2:$A$281,"HEI"),"")</f>
        <v/>
      </c>
      <c r="E82">
        <f>COUNTIFS(Daten!$A$2:$A$281,"HEI",Daten!$Y$2:$Y$281,"&gt;=0")</f>
        <v>0</v>
      </c>
      <c r="F82" s="13">
        <f>IFERROR(AVERAGEIFS(Daten!$V$2:$V$281,Daten!$A$2:$A$281,"HEI"),"")</f>
        <v>0.5</v>
      </c>
      <c r="G82">
        <f>COUNTIFS(Daten!$A$2:$A$281,"HEI",Daten!$F$2:$F$281,"qualitativ")+COUNTIFS(Daten!$A$2:$A$281,"HEI",Daten!$F$2:$F$281,"fehlend")</f>
        <v>8</v>
      </c>
    </row>
    <row r="83" spans="1:7" ht="15" customHeight="1" x14ac:dyDescent="0.35">
      <c r="A83" t="s">
        <v>81</v>
      </c>
      <c r="B83" s="13" t="str">
        <f>IFERROR(AVERAGEIFS(Daten!$U$2:$U$281,Daten!$G$2:$G$281,"absolut",Daten!$A$2:$A$281,"HEN3"),"")</f>
        <v/>
      </c>
      <c r="C83">
        <f>COUNTIFS(Daten!$G$2:$G$281,"absolut",Daten!$A$2:$A$281,"HEN3",Daten!$U$2:$U$281,"&gt;=0")</f>
        <v>0</v>
      </c>
      <c r="D83" s="13">
        <f>IFERROR(AVERAGEIFS(Daten!$Y$2:$Y$281,Daten!$A$2:$A$281,"HEN3"),"")</f>
        <v>2.1149999999999995E-2</v>
      </c>
      <c r="E83">
        <f>COUNTIFS(Daten!$A$2:$A$281,"HEN3",Daten!$Y$2:$Y$281,"&gt;=0")</f>
        <v>10</v>
      </c>
      <c r="F83" s="13">
        <f>IFERROR(AVERAGEIFS(Daten!$V$2:$V$281,Daten!$A$2:$A$281,"HEN3"),"")</f>
        <v>0.22222222222222221</v>
      </c>
      <c r="G83">
        <f>COUNTIFS(Daten!$A$2:$A$281,"HEN3",Daten!$F$2:$F$281,"qualitativ")+COUNTIFS(Daten!$A$2:$A$281,"HEN3",Daten!$F$2:$F$281,"fehlend")</f>
        <v>0</v>
      </c>
    </row>
    <row r="84" spans="1:7" ht="15" customHeight="1" x14ac:dyDescent="0.35">
      <c r="A84" t="s">
        <v>85</v>
      </c>
      <c r="B84" s="13">
        <f>IFERROR(AVERAGEIFS(Daten!$U$2:$U$281,Daten!$G$2:$G$281,"absolut",Daten!$A$2:$A$281,"IFX"),"")</f>
        <v>8.593676486021587E-2</v>
      </c>
      <c r="C84">
        <f>COUNTIFS(Daten!$G$2:$G$281,"absolut",Daten!$A$2:$A$281,"IFX",Daten!$U$2:$U$281,"&gt;=0")</f>
        <v>4</v>
      </c>
      <c r="D84" s="13">
        <f>IFERROR(AVERAGEIFS(Daten!$Y$2:$Y$281,Daten!$A$2:$A$281,"IFX"),"")</f>
        <v>2.8000000000000004E-2</v>
      </c>
      <c r="E84">
        <f>COUNTIFS(Daten!$A$2:$A$281,"IFX",Daten!$Y$2:$Y$281,"&gt;=0")</f>
        <v>4</v>
      </c>
      <c r="F84" s="13">
        <f>IFERROR(AVERAGEIFS(Daten!$V$2:$V$281,Daten!$A$2:$A$281,"IFX"),"")</f>
        <v>0</v>
      </c>
      <c r="G84">
        <f>COUNTIFS(Daten!$A$2:$A$281,"IFX",Daten!$F$2:$F$281,"qualitativ")+COUNTIFS(Daten!$A$2:$A$281,"IFX",Daten!$F$2:$F$281,"fehlend")</f>
        <v>2</v>
      </c>
    </row>
    <row r="85" spans="1:7" ht="15" customHeight="1" x14ac:dyDescent="0.35">
      <c r="A85" t="s">
        <v>91</v>
      </c>
      <c r="B85" s="13" t="str">
        <f>IFERROR(AVERAGEIFS(Daten!$U$2:$U$281,Daten!$G$2:$G$281,"absolut",Daten!$A$2:$A$281,"LHA"),"")</f>
        <v/>
      </c>
      <c r="C85">
        <f>COUNTIFS(Daten!$G$2:$G$281,"absolut",Daten!$A$2:$A$281,"LHA",Daten!$U$2:$U$281,"&gt;=0")</f>
        <v>0</v>
      </c>
      <c r="D85" s="13" t="str">
        <f>IFERROR(AVERAGEIFS(Daten!$Y$2:$Y$281,Daten!$A$2:$A$281,"LHA"),"")</f>
        <v/>
      </c>
      <c r="E85">
        <f>COUNTIFS(Daten!$A$2:$A$281,"LHA",Daten!$Y$2:$Y$281,"&gt;=0")</f>
        <v>0</v>
      </c>
      <c r="F85" s="13" t="str">
        <f>IFERROR(AVERAGEIFS(Daten!$V$2:$V$281,Daten!$A$2:$A$281,"LHA"),"")</f>
        <v/>
      </c>
      <c r="G85">
        <f>COUNTIFS(Daten!$A$2:$A$281,"LHA",Daten!$F$2:$F$281,"qualitativ")+COUNTIFS(Daten!$A$2:$A$281,"LHA",Daten!$F$2:$F$281,"fehlend")</f>
        <v>10</v>
      </c>
    </row>
    <row r="86" spans="1:7" ht="15" customHeight="1" x14ac:dyDescent="0.35">
      <c r="A86" t="s">
        <v>94</v>
      </c>
      <c r="B86" s="13" t="str">
        <f>IFERROR(AVERAGEIFS(Daten!$U$2:$U$281,Daten!$G$2:$G$281,"absolut",Daten!$A$2:$A$281,"MRK"),"")</f>
        <v/>
      </c>
      <c r="C86">
        <f>COUNTIFS(Daten!$G$2:$G$281,"absolut",Daten!$A$2:$A$281,"MRK",Daten!$U$2:$U$281,"&gt;=0")</f>
        <v>0</v>
      </c>
      <c r="D86" s="13" t="str">
        <f>IFERROR(AVERAGEIFS(Daten!$Y$2:$Y$281,Daten!$A$2:$A$281,"MRK"),"")</f>
        <v/>
      </c>
      <c r="E86">
        <f>COUNTIFS(Daten!$A$2:$A$281,"MRK",Daten!$Y$2:$Y$281,"&gt;=0")</f>
        <v>0</v>
      </c>
      <c r="F86" s="13" t="str">
        <f>IFERROR(AVERAGEIFS(Daten!$V$2:$V$281,Daten!$A$2:$A$281,"MRK"),"")</f>
        <v/>
      </c>
      <c r="G86">
        <f>COUNTIFS(Daten!$A$2:$A$281,"MRK",Daten!$F$2:$F$281,"qualitativ")+COUNTIFS(Daten!$A$2:$A$281,"MRK",Daten!$F$2:$F$281,"fehlend")</f>
        <v>10</v>
      </c>
    </row>
    <row r="87" spans="1:7" ht="15" customHeight="1" x14ac:dyDescent="0.35">
      <c r="A87" t="s">
        <v>97</v>
      </c>
      <c r="B87" s="13">
        <f>IFERROR(AVERAGEIFS(Daten!$U$2:$U$281,Daten!$G$2:$G$281,"absolut",Daten!$A$2:$A$281,"MTX"),"")</f>
        <v>6.0482465830594037E-2</v>
      </c>
      <c r="C87">
        <f>COUNTIFS(Daten!$G$2:$G$281,"absolut",Daten!$A$2:$A$281,"MTX",Daten!$U$2:$U$281,"&gt;=0")</f>
        <v>4</v>
      </c>
      <c r="D87" s="13">
        <f>IFERROR(AVERAGEIFS(Daten!$Y$2:$Y$281,Daten!$A$2:$A$281,"MTX"),"")</f>
        <v>1.3500000000000005E-2</v>
      </c>
      <c r="E87">
        <f>COUNTIFS(Daten!$A$2:$A$281,"MTX",Daten!$Y$2:$Y$281,"&gt;=0")</f>
        <v>2</v>
      </c>
      <c r="F87" s="13">
        <f>IFERROR(AVERAGEIFS(Daten!$V$2:$V$281,Daten!$A$2:$A$281,"MTX"),"")</f>
        <v>0.33333333333333331</v>
      </c>
      <c r="G87">
        <f>COUNTIFS(Daten!$A$2:$A$281,"MTX",Daten!$F$2:$F$281,"qualitativ")+COUNTIFS(Daten!$A$2:$A$281,"MTX",Daten!$F$2:$F$281,"fehlend")</f>
        <v>4</v>
      </c>
    </row>
    <row r="88" spans="1:7" ht="15" customHeight="1" x14ac:dyDescent="0.35">
      <c r="A88" t="s">
        <v>102</v>
      </c>
      <c r="B88" s="13">
        <f>IFERROR(AVERAGEIFS(Daten!$U$2:$U$281,Daten!$G$2:$G$281,"absolut",Daten!$A$2:$A$281,"MUV2"),"")</f>
        <v>0.27848482597593249</v>
      </c>
      <c r="C88">
        <f>COUNTIFS(Daten!$G$2:$G$281,"absolut",Daten!$A$2:$A$281,"MUV2",Daten!$U$2:$U$281,"&gt;=0")</f>
        <v>5</v>
      </c>
      <c r="D88" s="13" t="str">
        <f>IFERROR(AVERAGEIFS(Daten!$Y$2:$Y$281,Daten!$A$2:$A$281,"MUV2"),"")</f>
        <v/>
      </c>
      <c r="E88">
        <f>COUNTIFS(Daten!$A$2:$A$281,"MUV2",Daten!$Y$2:$Y$281,"&gt;=0")</f>
        <v>0</v>
      </c>
      <c r="F88" s="13" t="str">
        <f>IFERROR(AVERAGEIFS(Daten!$V$2:$V$281,Daten!$A$2:$A$281,"MUV2"),"")</f>
        <v/>
      </c>
      <c r="G88">
        <f>COUNTIFS(Daten!$A$2:$A$281,"MUV2",Daten!$F$2:$F$281,"qualitativ")+COUNTIFS(Daten!$A$2:$A$281,"MUV2",Daten!$F$2:$F$281,"fehlend")</f>
        <v>5</v>
      </c>
    </row>
    <row r="89" spans="1:7" ht="15" customHeight="1" x14ac:dyDescent="0.35">
      <c r="A89" t="s">
        <v>106</v>
      </c>
      <c r="B89" s="13">
        <f>IFERROR(AVERAGEIFS(Daten!$U$2:$U$281,Daten!$G$2:$G$281,"absolut",Daten!$A$2:$A$281,"RWE"),"")</f>
        <v>0.20791258875595803</v>
      </c>
      <c r="C89">
        <f>COUNTIFS(Daten!$G$2:$G$281,"absolut",Daten!$A$2:$A$281,"RWE",Daten!$U$2:$U$281,"&gt;=0")</f>
        <v>5</v>
      </c>
      <c r="D89" s="13" t="str">
        <f>IFERROR(AVERAGEIFS(Daten!$Y$2:$Y$281,Daten!$A$2:$A$281,"RWE"),"")</f>
        <v/>
      </c>
      <c r="E89">
        <f>COUNTIFS(Daten!$A$2:$A$281,"RWE",Daten!$Y$2:$Y$281,"&gt;=0")</f>
        <v>0</v>
      </c>
      <c r="F89" s="13">
        <f>IFERROR(AVERAGEIFS(Daten!$V$2:$V$281,Daten!$A$2:$A$281,"RWE"),"")</f>
        <v>0.2</v>
      </c>
      <c r="G89">
        <f>COUNTIFS(Daten!$A$2:$A$281,"RWE",Daten!$F$2:$F$281,"qualitativ")+COUNTIFS(Daten!$A$2:$A$281,"RWE",Daten!$F$2:$F$281,"fehlend")</f>
        <v>5</v>
      </c>
    </row>
    <row r="90" spans="1:7" ht="15" customHeight="1" x14ac:dyDescent="0.35">
      <c r="A90" t="s">
        <v>109</v>
      </c>
      <c r="B90" s="13">
        <f>IFERROR(AVERAGEIFS(Daten!$U$2:$U$281,Daten!$G$2:$G$281,"absolut",Daten!$A$2:$A$281,"SAP"),"")</f>
        <v>3.7874676496283816E-2</v>
      </c>
      <c r="C90">
        <f>COUNTIFS(Daten!$G$2:$G$281,"absolut",Daten!$A$2:$A$281,"SAP",Daten!$U$2:$U$281,"&gt;=0")</f>
        <v>10</v>
      </c>
      <c r="D90" s="13" t="str">
        <f>IFERROR(AVERAGEIFS(Daten!$Y$2:$Y$281,Daten!$A$2:$A$281,"SAP"),"")</f>
        <v/>
      </c>
      <c r="E90">
        <f>COUNTIFS(Daten!$A$2:$A$281,"SAP",Daten!$Y$2:$Y$281,"&gt;=0")</f>
        <v>0</v>
      </c>
      <c r="F90" s="13">
        <f>IFERROR(AVERAGEIFS(Daten!$V$2:$V$281,Daten!$A$2:$A$281,"SAP"),"")</f>
        <v>0.2</v>
      </c>
      <c r="G90">
        <f>COUNTIFS(Daten!$A$2:$A$281,"SAP",Daten!$F$2:$F$281,"qualitativ")+COUNTIFS(Daten!$A$2:$A$281,"SAP",Daten!$F$2:$F$281,"fehlend")</f>
        <v>0</v>
      </c>
    </row>
    <row r="91" spans="1:7" ht="15" customHeight="1" x14ac:dyDescent="0.35">
      <c r="A91" t="s">
        <v>114</v>
      </c>
      <c r="B91" s="13">
        <f>IFERROR(AVERAGEIFS(Daten!$U$2:$U$281,Daten!$G$2:$G$281,"absolut",Daten!$A$2:$A$281,"SIE"),"")</f>
        <v>0.24697592475537244</v>
      </c>
      <c r="C91">
        <f>COUNTIFS(Daten!$G$2:$G$281,"absolut",Daten!$A$2:$A$281,"SIE",Daten!$U$2:$U$281,"&gt;=0")</f>
        <v>3</v>
      </c>
      <c r="D91" s="13">
        <f>IFERROR(AVERAGEIFS(Daten!$Y$2:$Y$281,Daten!$A$2:$A$281,"SIE"),"")</f>
        <v>3.2333333333333332E-2</v>
      </c>
      <c r="E91">
        <f>COUNTIFS(Daten!$A$2:$A$281,"SIE",Daten!$Y$2:$Y$281,"&gt;=0")</f>
        <v>3</v>
      </c>
      <c r="F91" s="13">
        <f>IFERROR(AVERAGEIFS(Daten!$V$2:$V$281,Daten!$A$2:$A$281,"SIE"),"")</f>
        <v>0.16666666666666666</v>
      </c>
      <c r="G91">
        <f>COUNTIFS(Daten!$A$2:$A$281,"SIE",Daten!$F$2:$F$281,"qualitativ")+COUNTIFS(Daten!$A$2:$A$281,"SIE",Daten!$F$2:$F$281,"fehlend")</f>
        <v>4</v>
      </c>
    </row>
    <row r="92" spans="1:7" ht="15" customHeight="1" x14ac:dyDescent="0.35">
      <c r="A92" t="s">
        <v>118</v>
      </c>
      <c r="B92" s="13" t="str">
        <f>IFERROR(AVERAGEIFS(Daten!$U$2:$U$281,Daten!$G$2:$G$281,"absolut",Daten!$A$2:$A$281,"VOW3"),"")</f>
        <v/>
      </c>
      <c r="C92">
        <f>COUNTIFS(Daten!$G$2:$G$281,"absolut",Daten!$A$2:$A$281,"VOW3",Daten!$U$2:$U$281,"&gt;=0")</f>
        <v>0</v>
      </c>
      <c r="D92" s="13">
        <f>IFERROR(AVERAGEIFS(Daten!$Y$2:$Y$281,Daten!$A$2:$A$281,"VOW3"),"")</f>
        <v>1.4300000000000002E-2</v>
      </c>
      <c r="E92">
        <f>COUNTIFS(Daten!$A$2:$A$281,"VOW3",Daten!$Y$2:$Y$281,"&gt;=0")</f>
        <v>5</v>
      </c>
      <c r="F92" s="13">
        <f>IFERROR(AVERAGEIFS(Daten!$V$2:$V$281,Daten!$A$2:$A$281,"VOW3"),"")</f>
        <v>0.2</v>
      </c>
      <c r="G92">
        <f>COUNTIFS(Daten!$A$2:$A$281,"VOW3",Daten!$F$2:$F$281,"qualitativ")+COUNTIFS(Daten!$A$2:$A$281,"VOW3",Daten!$F$2:$F$281,"fehlend")</f>
        <v>1</v>
      </c>
    </row>
    <row r="93" spans="1:7" ht="15" customHeight="1" x14ac:dyDescent="0.35">
      <c r="A93" t="s">
        <v>121</v>
      </c>
      <c r="B93" s="13">
        <f>IFERROR(AVERAGEIFS(Daten!$U$2:$U$281,Daten!$G$2:$G$281,"absolut",Daten!$A$2:$A$281,"VNA"),"")</f>
        <v>2.108811966339914E-2</v>
      </c>
      <c r="C93">
        <f>COUNTIFS(Daten!$G$2:$G$281,"absolut",Daten!$A$2:$A$281,"VNA",Daten!$U$2:$U$281,"&gt;=0")</f>
        <v>9</v>
      </c>
      <c r="D93" s="13" t="str">
        <f>IFERROR(AVERAGEIFS(Daten!$Y$2:$Y$281,Daten!$A$2:$A$281,"VNA"),"")</f>
        <v/>
      </c>
      <c r="E93">
        <f>COUNTIFS(Daten!$A$2:$A$281,"VNA",Daten!$Y$2:$Y$281,"&gt;=0")</f>
        <v>0</v>
      </c>
      <c r="F93" s="13">
        <f>IFERROR(AVERAGEIFS(Daten!$V$2:$V$281,Daten!$A$2:$A$281,"VNA"),"")</f>
        <v>0.77777777777777779</v>
      </c>
      <c r="G93">
        <f>COUNTIFS(Daten!$A$2:$A$281,"VNA",Daten!$F$2:$F$281,"qualitativ")+COUNTIFS(Daten!$A$2:$A$281,"VNA",Daten!$F$2:$F$281,"fehlend")</f>
        <v>1</v>
      </c>
    </row>
    <row r="95" spans="1:7" ht="15" customHeight="1" x14ac:dyDescent="0.35">
      <c r="A95" s="16" t="s">
        <v>164</v>
      </c>
    </row>
    <row r="97" spans="1:5" x14ac:dyDescent="0.35">
      <c r="A97" s="17" t="s">
        <v>165</v>
      </c>
    </row>
    <row r="98" spans="1:5" x14ac:dyDescent="0.35">
      <c r="A98" s="15" t="s">
        <v>166</v>
      </c>
      <c r="B98" s="15" t="s">
        <v>162</v>
      </c>
      <c r="C98" s="15" t="s">
        <v>157</v>
      </c>
      <c r="D98" s="15" t="s">
        <v>167</v>
      </c>
      <c r="E98" s="15" t="s">
        <v>168</v>
      </c>
    </row>
    <row r="99" spans="1:5" x14ac:dyDescent="0.35">
      <c r="A99">
        <v>9</v>
      </c>
      <c r="B99" t="s">
        <v>7</v>
      </c>
      <c r="C99">
        <v>2023</v>
      </c>
      <c r="D99" s="13">
        <f>Daten!T9</f>
        <v>-3.6119402985074629</v>
      </c>
      <c r="E99" t="s">
        <v>169</v>
      </c>
    </row>
    <row r="100" spans="1:5" x14ac:dyDescent="0.35">
      <c r="A100">
        <v>11</v>
      </c>
      <c r="B100" t="s">
        <v>7</v>
      </c>
      <c r="C100">
        <v>2024</v>
      </c>
      <c r="D100" s="13">
        <f>Daten!T11</f>
        <v>-0.62602842183994012</v>
      </c>
      <c r="E100" t="s">
        <v>170</v>
      </c>
    </row>
    <row r="101" spans="1:5" x14ac:dyDescent="0.35">
      <c r="A101">
        <v>77</v>
      </c>
      <c r="B101" t="s">
        <v>40</v>
      </c>
      <c r="C101">
        <v>2022</v>
      </c>
      <c r="D101" s="13">
        <f>Daten!T77</f>
        <v>0.70068027210884354</v>
      </c>
      <c r="E101" t="s">
        <v>171</v>
      </c>
    </row>
    <row r="102" spans="1:5" x14ac:dyDescent="0.35">
      <c r="A102">
        <v>223</v>
      </c>
      <c r="B102" t="s">
        <v>102</v>
      </c>
      <c r="C102">
        <v>2020</v>
      </c>
      <c r="D102" s="13">
        <f>Daten!T223</f>
        <v>1.064409578860446</v>
      </c>
      <c r="E102" t="s">
        <v>172</v>
      </c>
    </row>
    <row r="103" spans="1:5" x14ac:dyDescent="0.35">
      <c r="A103">
        <v>257</v>
      </c>
      <c r="B103" t="s">
        <v>114</v>
      </c>
      <c r="C103">
        <v>2022</v>
      </c>
      <c r="D103" s="13">
        <f>Daten!T257</f>
        <v>0.62705667276051169</v>
      </c>
      <c r="E103" t="s">
        <v>173</v>
      </c>
    </row>
    <row r="107" spans="1:5" x14ac:dyDescent="0.35">
      <c r="A107" s="15" t="s">
        <v>174</v>
      </c>
      <c r="B107" s="13">
        <f>(SUMIFS(Daten!$U$2:$U$281,Daten!$G$2:$G$281,"absolut")-Daten!U9)/(COUNTIFS(Daten!$G$2:$G$281,"absolut",Daten!$U$2:$U$281,"&gt;=0")-1)</f>
        <v>0.10412563444832076</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3"/>
  <sheetViews>
    <sheetView zoomScaleNormal="100" workbookViewId="0">
      <selection activeCell="B22" sqref="B22"/>
    </sheetView>
  </sheetViews>
  <sheetFormatPr defaultColWidth="8.6328125" defaultRowHeight="14.5" x14ac:dyDescent="0.35"/>
  <cols>
    <col min="1" max="1" width="28" customWidth="1"/>
    <col min="2" max="2" width="115" customWidth="1"/>
  </cols>
  <sheetData>
    <row r="1" spans="1:2" ht="15" customHeight="1" x14ac:dyDescent="0.35">
      <c r="A1" s="57" t="s">
        <v>561</v>
      </c>
      <c r="B1" s="57" t="s">
        <v>562</v>
      </c>
    </row>
    <row r="2" spans="1:2" ht="27.75" customHeight="1" x14ac:dyDescent="0.35">
      <c r="A2" s="15" t="s">
        <v>563</v>
      </c>
      <c r="B2" s="26" t="s">
        <v>564</v>
      </c>
    </row>
    <row r="3" spans="1:2" ht="27.75" customHeight="1" x14ac:dyDescent="0.35">
      <c r="A3" s="15" t="s">
        <v>190</v>
      </c>
      <c r="B3" s="26" t="s">
        <v>565</v>
      </c>
    </row>
    <row r="4" spans="1:2" ht="27.75" customHeight="1" x14ac:dyDescent="0.35">
      <c r="A4" s="15" t="s">
        <v>566</v>
      </c>
      <c r="B4" s="26" t="s">
        <v>567</v>
      </c>
    </row>
    <row r="5" spans="1:2" ht="27.75" customHeight="1" x14ac:dyDescent="0.35">
      <c r="A5" s="15" t="s">
        <v>568</v>
      </c>
      <c r="B5" s="26" t="s">
        <v>569</v>
      </c>
    </row>
    <row r="6" spans="1:2" ht="27.75" customHeight="1" x14ac:dyDescent="0.35">
      <c r="A6" s="15" t="s">
        <v>196</v>
      </c>
      <c r="B6" s="26" t="s">
        <v>570</v>
      </c>
    </row>
    <row r="7" spans="1:2" ht="27.75" customHeight="1" x14ac:dyDescent="0.35">
      <c r="A7" s="15" t="s">
        <v>179</v>
      </c>
      <c r="B7" s="26" t="s">
        <v>571</v>
      </c>
    </row>
    <row r="8" spans="1:2" ht="27.75" customHeight="1" x14ac:dyDescent="0.35">
      <c r="A8" s="15" t="s">
        <v>572</v>
      </c>
      <c r="B8" s="26" t="s">
        <v>573</v>
      </c>
    </row>
    <row r="9" spans="1:2" ht="15" customHeight="1" x14ac:dyDescent="0.35">
      <c r="A9" s="15" t="s">
        <v>574</v>
      </c>
      <c r="B9" s="26" t="s">
        <v>575</v>
      </c>
    </row>
    <row r="10" spans="1:2" ht="15" customHeight="1" x14ac:dyDescent="0.35">
      <c r="A10" s="15" t="s">
        <v>195</v>
      </c>
      <c r="B10" s="26" t="s">
        <v>576</v>
      </c>
    </row>
    <row r="11" spans="1:2" ht="15" customHeight="1" x14ac:dyDescent="0.35">
      <c r="A11" s="15" t="s">
        <v>577</v>
      </c>
      <c r="B11" s="26" t="s">
        <v>578</v>
      </c>
    </row>
    <row r="12" spans="1:2" ht="15" customHeight="1" x14ac:dyDescent="0.35">
      <c r="A12" s="15" t="s">
        <v>579</v>
      </c>
      <c r="B12" s="26" t="s">
        <v>580</v>
      </c>
    </row>
    <row r="13" spans="1:2" ht="27.75" customHeight="1" x14ac:dyDescent="0.35">
      <c r="A13" s="15" t="s">
        <v>581</v>
      </c>
      <c r="B13" s="26" t="s">
        <v>582</v>
      </c>
    </row>
  </sheetData>
  <pageMargins left="0.75" right="0.75" top="1" bottom="1" header="0.511811023622047" footer="0.511811023622047"/>
  <pageSetup paperSize="9" orientation="portrait" horizontalDpi="300" verticalDpi="300"/>
</worksheet>
</file>

<file path=docMetadata/LabelInfo.xml><?xml version="1.0" encoding="utf-8"?>
<clbl:labelList xmlns:clbl="http://schemas.microsoft.com/office/2020/mipLabelMetadata">
  <clbl:label id="{ea60d57e-af5b-4752-ac57-3e4f28ca11dc}" enabled="1" method="Standard" siteId="{36da45f1-dd2c-4d1f-af13-5abe46b99921}" contentBits="0" removed="0"/>
</clbl:labelLis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Unternehmen</vt:lpstr>
      <vt:lpstr>Daten</vt:lpstr>
      <vt:lpstr>Auswertung</vt:lpstr>
      <vt:lpstr>Codebook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Tomruk, Zeynep</dc:creator>
  <dc:description/>
  <cp:lastModifiedBy>Tomruk, Zeynep</cp:lastModifiedBy>
  <cp:revision>0</cp:revision>
  <cp:lastPrinted>2026-08-27T12:09:13Z</cp:lastPrinted>
  <dcterms:created xsi:type="dcterms:W3CDTF">2015-06-05T18:19:34Z</dcterms:created>
  <dcterms:modified xsi:type="dcterms:W3CDTF">2026-09-10T14:31:50Z</dcterms:modified>
  <dc:language>en-US</dc:language>
</cp:coreProperties>
</file>