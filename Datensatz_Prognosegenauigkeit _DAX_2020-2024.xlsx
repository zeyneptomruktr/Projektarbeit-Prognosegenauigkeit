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Unternehmen" sheetId="1" state="visible" r:id="rId3"/>
    <sheet name="Daten" sheetId="2" state="visible" r:id="rId4"/>
    <sheet name="Auswertung" sheetId="3" state="visible" r:id="rId5"/>
    <sheet name="Codebook" sheetId="4" state="visible" r:id="rId6"/>
  </sheets>
  <definedNames>
    <definedName function="false" hidden="true" localSheetId="1" name="_xlnm._FilterDatabase" vbProcedure="false">Daten!$A$1:$Q$281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<sst xmlns="http://schemas.openxmlformats.org/spreadsheetml/2006/main" count="2580" uniqueCount="591">
  <si>
    <t xml:space="preserve">Firma_ID</t>
  </si>
  <si>
    <t xml:space="preserve">Unternehmen</t>
  </si>
  <si>
    <t xml:space="preserve">Finanzwert (0/1)</t>
  </si>
  <si>
    <t xml:space="preserve">Branche (vorlaeufig)</t>
  </si>
  <si>
    <t xml:space="preserve">KPI1_Definition (Umsatzgroesse)</t>
  </si>
  <si>
    <t xml:space="preserve">KPI2_Definition (op. Ergebnisgroesse)</t>
  </si>
  <si>
    <t xml:space="preserve">Anmerkung</t>
  </si>
  <si>
    <t xml:space="preserve">ADS</t>
  </si>
  <si>
    <t xml:space="preserve">adidas AG</t>
  </si>
  <si>
    <t xml:space="preserve">Konsumgueter</t>
  </si>
  <si>
    <t xml:space="preserve">Umsatzwachstum</t>
  </si>
  <si>
    <t xml:space="preserve">Operative Marge / Betriebsergebnis</t>
  </si>
  <si>
    <t xml:space="preserve">ALV</t>
  </si>
  <si>
    <t xml:space="preserve">Allianz SE</t>
  </si>
  <si>
    <t xml:space="preserve">Versicherungen</t>
  </si>
  <si>
    <t xml:space="preserve">Umsatz</t>
  </si>
  <si>
    <t xml:space="preserve">Operatives Ergebnis</t>
  </si>
  <si>
    <t xml:space="preserve">Konzernumsatz-Prognose nur qualitativ -&gt; KPI1 fehlend</t>
  </si>
  <si>
    <t xml:space="preserve">BAS</t>
  </si>
  <si>
    <t xml:space="preserve">BASF SE</t>
  </si>
  <si>
    <t xml:space="preserve">Chemie</t>
  </si>
  <si>
    <t xml:space="preserve">EBIT/EBITDA*</t>
  </si>
  <si>
    <t xml:space="preserve">BAYN</t>
  </si>
  <si>
    <t xml:space="preserve">Bayer AG</t>
  </si>
  <si>
    <t xml:space="preserve">Pharma &amp; Healthcare</t>
  </si>
  <si>
    <t xml:space="preserve">Umsatzerlöse</t>
  </si>
  <si>
    <t xml:space="preserve">EBITDA</t>
  </si>
  <si>
    <t xml:space="preserve">BEI</t>
  </si>
  <si>
    <t xml:space="preserve">Beiersdorf AG</t>
  </si>
  <si>
    <t xml:space="preserve">Umsatzentwicklung</t>
  </si>
  <si>
    <t xml:space="preserve">EBIT-Umsatzrendite</t>
  </si>
  <si>
    <t xml:space="preserve">Alle Geschäftsberichte zum Download unter https://www.beiersdorf.de/investor-relations/finanzberichte/finanzberichte-und-praesentationen</t>
  </si>
  <si>
    <t xml:space="preserve">BMW</t>
  </si>
  <si>
    <t xml:space="preserve">BMW AG</t>
  </si>
  <si>
    <t xml:space="preserve">Automobile</t>
  </si>
  <si>
    <t xml:space="preserve">nicht prognostiziert</t>
  </si>
  <si>
    <t xml:space="preserve">EBIT-Marge</t>
  </si>
  <si>
    <t xml:space="preserve">Nur Segment Automobile betrachtet, Segment Motorräder außen vor gelassen (im vergleich ist das Segment winzig).
Umsatzprognose wird nicht durchgeführt, da BMW intern nicht über Umsatz steuert und DRS 20 verlangt Prognosen nur für die intern verwendeten bedeutsamsten Leistungsindikatoren.</t>
  </si>
  <si>
    <t xml:space="preserve">CON</t>
  </si>
  <si>
    <t xml:space="preserve">Continental AG</t>
  </si>
  <si>
    <t xml:space="preserve">1COV</t>
  </si>
  <si>
    <t xml:space="preserve">Covestro AG</t>
  </si>
  <si>
    <t xml:space="preserve">Umsatz als KPI fehlt</t>
  </si>
  <si>
    <t xml:space="preserve">DAI</t>
  </si>
  <si>
    <t xml:space="preserve">Daimler AG</t>
  </si>
  <si>
    <t xml:space="preserve">Bereinigte Umsatzrendite MB Cars &amp; Vans</t>
  </si>
  <si>
    <t xml:space="preserve">12/2021 Spin-off Daimler Truck; ab GB 2021 Mercedes-Benz-Group; ab 2022 ggf. Segment Cars separat.</t>
  </si>
  <si>
    <t xml:space="preserve">DBK</t>
  </si>
  <si>
    <t xml:space="preserve">Deutsche Bank AG</t>
  </si>
  <si>
    <t xml:space="preserve">Banken</t>
  </si>
  <si>
    <t xml:space="preserve">Erträge Konzern</t>
  </si>
  <si>
    <t xml:space="preserve">Eigenkapitalrendite nach Steuern</t>
  </si>
  <si>
    <t xml:space="preserve">KPI2: Jahresprognose nur im GB 2019 für 2020 und GB 2021 für 2022, übrige Jahre nur Mittelfristziele -&gt; fehlend</t>
  </si>
  <si>
    <t xml:space="preserve">DB1</t>
  </si>
  <si>
    <t xml:space="preserve">Deutsche Boerse AG</t>
  </si>
  <si>
    <t xml:space="preserve">Finanzdienstleister</t>
  </si>
  <si>
    <t xml:space="preserve">Nettoerlöse</t>
  </si>
  <si>
    <t xml:space="preserve">DPW</t>
  </si>
  <si>
    <t xml:space="preserve">Deutsche Post AG</t>
  </si>
  <si>
    <t xml:space="preserve">Transport &amp; Logistik</t>
  </si>
  <si>
    <t xml:space="preserve">Konzern-EBIT</t>
  </si>
  <si>
    <t xml:space="preserve">KPI1 nicht prognostiziert, alle Jahre fehlend</t>
  </si>
  <si>
    <t xml:space="preserve">DTE</t>
  </si>
  <si>
    <t xml:space="preserve">Deutsche Telekom AG</t>
  </si>
  <si>
    <t xml:space="preserve">Telekommunikation</t>
  </si>
  <si>
    <t xml:space="preserve">Bereinigte EBITDA AL</t>
  </si>
  <si>
    <t xml:space="preserve">EOAN</t>
  </si>
  <si>
    <t xml:space="preserve">E.ON SE</t>
  </si>
  <si>
    <t xml:space="preserve">Versorger</t>
  </si>
  <si>
    <t xml:space="preserve">EBIT/EBITDA</t>
  </si>
  <si>
    <t xml:space="preserve">KPI1 nicht prognostiziert, alle Jahre fehlend
KPI2: Für 2020 und 2021 EBIT; für 2022, 2023 und 2024 EBITDA</t>
  </si>
  <si>
    <t xml:space="preserve">FRE</t>
  </si>
  <si>
    <t xml:space="preserve">Fresenius SE &amp; Co. KGaA</t>
  </si>
  <si>
    <t xml:space="preserve">Konzernergebnis/EBIT</t>
  </si>
  <si>
    <t xml:space="preserve">KPI2: Konzernergebnis für 2020 bis 2022, ab 2023 EBIT</t>
  </si>
  <si>
    <t xml:space="preserve">FME</t>
  </si>
  <si>
    <t xml:space="preserve">Fresenius Medical Care AG &amp; Co. KGaA</t>
  </si>
  <si>
    <t xml:space="preserve">HEI</t>
  </si>
  <si>
    <t xml:space="preserve">HeidelbergCement AG</t>
  </si>
  <si>
    <t xml:space="preserve">Bau</t>
  </si>
  <si>
    <t xml:space="preserve">Ergebnis des laufenden Geschäftsbetriebs (RCO)</t>
  </si>
  <si>
    <t xml:space="preserve">HEN3</t>
  </si>
  <si>
    <t xml:space="preserve">Henkel AG &amp; Co. KGaA</t>
  </si>
  <si>
    <t xml:space="preserve">Organisches Umsatzwachstum</t>
  </si>
  <si>
    <t xml:space="preserve">EBIT-Marge (bereinigt)</t>
  </si>
  <si>
    <t xml:space="preserve">IFX</t>
  </si>
  <si>
    <t xml:space="preserve">Infineon Technologies AG</t>
  </si>
  <si>
    <t xml:space="preserve">Technologie</t>
  </si>
  <si>
    <t xml:space="preserve">Segmentergebnis-Marge</t>
  </si>
  <si>
    <t xml:space="preserve">Linde plc</t>
  </si>
  <si>
    <t xml:space="preserve">Ausgeschlossen, Begründung unter Kapitel 3.1</t>
  </si>
  <si>
    <t xml:space="preserve">LHA</t>
  </si>
  <si>
    <t xml:space="preserve">Deutsche Lufthansa AG</t>
  </si>
  <si>
    <t xml:space="preserve">Bereinigtes EBIT</t>
  </si>
  <si>
    <t xml:space="preserve">MRK</t>
  </si>
  <si>
    <t xml:space="preserve">Merck KGaA</t>
  </si>
  <si>
    <t xml:space="preserve">EBITDA pre</t>
  </si>
  <si>
    <t xml:space="preserve">MTX</t>
  </si>
  <si>
    <t xml:space="preserve">MTU Aero Engines AG</t>
  </si>
  <si>
    <t xml:space="preserve">Industrie</t>
  </si>
  <si>
    <t xml:space="preserve">Umsatz(/Bereinigter Umsatz)</t>
  </si>
  <si>
    <t xml:space="preserve">Bereinigtes EBIT/ EBIT-Marge</t>
  </si>
  <si>
    <t xml:space="preserve">MUV2</t>
  </si>
  <si>
    <t xml:space="preserve">Muenchener Rueck AG</t>
  </si>
  <si>
    <t xml:space="preserve">Konzernergebnis</t>
  </si>
  <si>
    <t xml:space="preserve">Umsatz -&gt; KPI1 fehlend</t>
  </si>
  <si>
    <t xml:space="preserve">RWE</t>
  </si>
  <si>
    <t xml:space="preserve">RWE AG</t>
  </si>
  <si>
    <t xml:space="preserve">Bereinigtes EBITDA</t>
  </si>
  <si>
    <t xml:space="preserve">SAP</t>
  </si>
  <si>
    <t xml:space="preserve">SAP SE</t>
  </si>
  <si>
    <t xml:space="preserve">Cloud- und Softwareerlöse</t>
  </si>
  <si>
    <t xml:space="preserve">Betriebsergebnis Non-IFRS (wb.)</t>
  </si>
  <si>
    <t xml:space="preserve">Prognose Non-IFRS + waehrungsbereinigt</t>
  </si>
  <si>
    <t xml:space="preserve">SIE</t>
  </si>
  <si>
    <t xml:space="preserve">Siemens AG</t>
  </si>
  <si>
    <t xml:space="preserve">EBITA-Marge / EPS pre PPA</t>
  </si>
  <si>
    <t xml:space="preserve">Geschaeftsjahr endet 30.09. 
KPI2: Ergebnismarge Industrial Business (2020-2021), ab GJ 2022 EPS pre PPA wegen geänderter Konzernsteuerung nach Siemens-Energy-Spin-off 09/2020</t>
  </si>
  <si>
    <t xml:space="preserve">VOW3</t>
  </si>
  <si>
    <t xml:space="preserve">Volkswagen AG</t>
  </si>
  <si>
    <t xml:space="preserve">Operative Umsatzrendite</t>
  </si>
  <si>
    <t xml:space="preserve">VNA</t>
  </si>
  <si>
    <t xml:space="preserve">Vonovia SE</t>
  </si>
  <si>
    <t xml:space="preserve">Immobilien</t>
  </si>
  <si>
    <t xml:space="preserve">Group FFO</t>
  </si>
  <si>
    <t xml:space="preserve">KPI1: Group Funds from Operations -&gt; wichtigste operative Kennzahl für Rentabilität und Cashflow in der Immobilienbranche.
KPI1 ab 2023 fehlend (Prognose für 2024 fehlt).</t>
  </si>
  <si>
    <t xml:space="preserve">Wirecard</t>
  </si>
  <si>
    <t xml:space="preserve">Stichprobe: DAX30 zum Stichtag 01.01.2020 (Stand nach Indexanpassung 09/2019). Ausgeschlossen: Wirecard AG (Insolvenz 2020, keine verlaesslichen Ist-Werte) und Linde plc (irische Gesellschaft, US-GAAP, keine DRS-20-Prognoseberichtspflicht) -&gt; 28 Unternehmen. Quelle: STOXX, Historical Index Compositions of the Equity- and Strategy Indices.</t>
  </si>
  <si>
    <t xml:space="preserve">Ist_Jahr</t>
  </si>
  <si>
    <t xml:space="preserve">KPI</t>
  </si>
  <si>
    <t xml:space="preserve">GB_Prognosequelle</t>
  </si>
  <si>
    <t xml:space="preserve">Seite_Prognose</t>
  </si>
  <si>
    <t xml:space="preserve">Prognoseform</t>
  </si>
  <si>
    <t xml:space="preserve">Angabetyp</t>
  </si>
  <si>
    <t xml:space="preserve">Einheit</t>
  </si>
  <si>
    <t xml:space="preserve">Prog_Untergrenze</t>
  </si>
  <si>
    <t xml:space="preserve">Prog_Obergrenze</t>
  </si>
  <si>
    <t xml:space="preserve">Basiswert_Vorjahr</t>
  </si>
  <si>
    <t xml:space="preserve">Ist_Wert</t>
  </si>
  <si>
    <t xml:space="preserve">Veränderung zum Vorjahr</t>
  </si>
  <si>
    <t xml:space="preserve">Rahmensprengung</t>
  </si>
  <si>
    <t xml:space="preserve">GB_Ist_Quelle</t>
  </si>
  <si>
    <t xml:space="preserve">Seite_Ist</t>
  </si>
  <si>
    <t xml:space="preserve">Prognose_final</t>
  </si>
  <si>
    <t xml:space="preserve">Fehler (Prog.-Ist)</t>
  </si>
  <si>
    <t xml:space="preserve">Rel_Fehler (nur absolut)</t>
  </si>
  <si>
    <t xml:space="preserve">APE (nur absolut)</t>
  </si>
  <si>
    <t xml:space="preserve">Treffer_Bandbreite (1/0)</t>
  </si>
  <si>
    <t xml:space="preserve">Prognose_Wortlaut</t>
  </si>
  <si>
    <t xml:space="preserve">Trefferkategorie</t>
  </si>
  <si>
    <t xml:space="preserve">Fehler_PP (nur %-KPI)</t>
  </si>
  <si>
    <t xml:space="preserve">Branche</t>
  </si>
  <si>
    <t xml:space="preserve">2019: https://report.adidas-group.com/2019/de/serviceseiten/downloads/files/adidas_geschaeftsbericht_2019.pdf</t>
  </si>
  <si>
    <t xml:space="preserve">Bandbreite</t>
  </si>
  <si>
    <t xml:space="preserve">Wachstumsrate %</t>
  </si>
  <si>
    <t xml:space="preserve">% (wb. Wachstumsrate)</t>
  </si>
  <si>
    <t xml:space="preserve">-20 PP</t>
  </si>
  <si>
    <t xml:space="preserve">2020: https://report.adidas-group.com/2020/de/serviceseiten/downloads/files/annual-report-adidas-gb20.pdf</t>
  </si>
  <si>
    <t xml:space="preserve">Operative Ergebnisgroesse</t>
  </si>
  <si>
    <t xml:space="preserve">Marge %</t>
  </si>
  <si>
    <t xml:space="preserve">% (op. Marge)</t>
  </si>
  <si>
    <t xml:space="preserve">-7,5 PP</t>
  </si>
  <si>
    <t xml:space="preserve">-0,20 PP</t>
  </si>
  <si>
    <t xml:space="preserve">30 PP</t>
  </si>
  <si>
    <t xml:space="preserve">im Rahmen</t>
  </si>
  <si>
    <t xml:space="preserve">2021: https://report.adidas-group.com/2021/de/serviceseiten/downloads/files/annual-report-adidas-gb21.pdf</t>
  </si>
  <si>
    <t xml:space="preserve">5,3 PP</t>
  </si>
  <si>
    <t xml:space="preserve">-15 PP</t>
  </si>
  <si>
    <t xml:space="preserve">-11 PP</t>
  </si>
  <si>
    <t xml:space="preserve">2022: https://report.adidas-group.com/2022/de/_assets/downloads/annual-report-adidas-gb22.pdf</t>
  </si>
  <si>
    <t xml:space="preserve">2021:https://report.adidas-group.com/2021/de/serviceseiten/downloads/files/annual-report-adidas-gb21.pdf</t>
  </si>
  <si>
    <t xml:space="preserve">-6,4 PP</t>
  </si>
  <si>
    <t xml:space="preserve">-16,9 PP</t>
  </si>
  <si>
    <t xml:space="preserve">-3 PP</t>
  </si>
  <si>
    <t xml:space="preserve">Positiv außerhalb Prognose (oberhalb)</t>
  </si>
  <si>
    <t xml:space="preserve">2023: https://report.adidas-group.com/2023/de/_assets/downloads/annual-report-adidas-gb23.pdf</t>
  </si>
  <si>
    <t xml:space="preserve">Punkt</t>
  </si>
  <si>
    <t xml:space="preserve">absolut</t>
  </si>
  <si>
    <t xml:space="preserve">Mio. EUR</t>
  </si>
  <si>
    <t xml:space="preserve">METHODIK: Prognose -700 Mio (Verlust) vs. Ist +268 Mio -&gt; Vorzeichenwechsel, relativer Fehler (-361 %) statistisch nicht sinnvoll interpretierbar; als Ausreisser behandeln oder in Robustheitsrechnung ausschliessen</t>
  </si>
  <si>
    <t xml:space="preserve">12 PP</t>
  </si>
  <si>
    <t xml:space="preserve">2024: https://report.adidas-group.com/2024/de/_assets/downloads/annual-report-adidas-gb24.pdf</t>
  </si>
  <si>
    <t xml:space="preserve">2019: https://www.allianz.com/content/dam/onemarketing/azcom/Allianz_com/investor-relations/en/results-reports/annual-report/ar-2019/de-GB-Gruppe-Geschaeftsbericht-Allianz-2019.pdf</t>
  </si>
  <si>
    <t xml:space="preserve">Punkt mit Korridor</t>
  </si>
  <si>
    <t xml:space="preserve">Mrd. EUR</t>
  </si>
  <si>
    <t xml:space="preserve">-750 Mio. EUR</t>
  </si>
  <si>
    <t xml:space="preserve">2020: https://www.allianz.com/content/dam/onemarketing/azcom/Allianz_com/investor-relations/en/results-reports/annual-report/ar-2020/de-Allianz-Gruppe-Geschaeftsbericht-2020.pdf</t>
  </si>
  <si>
    <t xml:space="preserve">qualitativ</t>
  </si>
  <si>
    <t xml:space="preserve">Um 1.914 gesunken, obwohl es hätte steigen sollen</t>
  </si>
  <si>
    <t xml:space="preserve">Moderates Wachstum</t>
  </si>
  <si>
    <t xml:space="preserve">2021: https://www.allianz.com/content/dam/onemarketing/azcom/Allianz_com/investor-relations/en/results-reports/annual-report/ar-2021/de-Allianz-Gruppe-Geschaeftsbericht-2021.pdf</t>
  </si>
  <si>
    <t xml:space="preserve">2022: https://www.allianz.com/content/dam/onemarketing/azcom/Allianz_com/investor-relations/en/results-reports/annual-report/ar-2022/de-Allianz-Gruppe-Geschaeftsbericht-2022.pdf</t>
  </si>
  <si>
    <t xml:space="preserve">2023: https://www.allianz.com/content/dam/onemarketing/azcom/Allianz_com/investor-relations/en/results-reports/annual-report/ar-2023/de-Allianz-Gruppe-Geschaeftsbericht-2023.pdf</t>
  </si>
  <si>
    <t xml:space="preserve">+ 7%</t>
  </si>
  <si>
    <t xml:space="preserve">2024: https://www.allianz.com/content/dam/onemarketing/azcom/Allianz_com/investor-relations/en/results-reports/annual-report/ar-2024/de-allianz-gruppe-geschaeftsbericht-2024.pdf</t>
  </si>
  <si>
    <t xml:space="preserve">5,30 PP</t>
  </si>
  <si>
    <t xml:space="preserve">+ 3%</t>
  </si>
  <si>
    <t xml:space="preserve">2019: https://www.basf.com/dam/jcr:19509d83-1670-32bb-b58a-2ca8c594eb86/basf/www/global/documents/de/investor-relations/calendar-and-publications/reports/2020/BASF_Bericht_2019.pdf</t>
  </si>
  <si>
    <t xml:space="preserve">-0,85 Mrd. EUR</t>
  </si>
  <si>
    <t xml:space="preserve">2020: https://www.basf.com/dam/jcr:14cf35ed-802f-3b49-8bef-363aa9646373/basf/www/global/documents/de/investor-relations/calendar-and-publications/reports/2021/BASF_Bericht_2020.pdf</t>
  </si>
  <si>
    <t xml:space="preserve">-0,64 Mrd. EUR</t>
  </si>
  <si>
    <t xml:space="preserve">2021: https://www.basf.com/dam/jcr:e0618338-8da4-31ba-b2b3-165dd93a6fcf/basf/www/global/documents/de/investor-relations/calendar-and-publications/reports/2022/BASF_Bericht_2021.pdf</t>
  </si>
  <si>
    <t xml:space="preserve">2022: https://www.basf.com/dam/jcr:29580e49-03df-3dff-a5fe-e16171be6e3f/basf/www/global/documents/de/investor-relations/calendar-and-publications/reports/2023/BASF_Bericht_2022.pdf</t>
  </si>
  <si>
    <t xml:space="preserve">-15,10 Mrd. EUR</t>
  </si>
  <si>
    <t xml:space="preserve">2023: https://www.basf.com/dam/jcr:dad0be3d-5bac-3832-a127-7c8cefeb7f41/basf/www/global/documents/de/investor-relations/calendar-and-publications/reports/2024/BASF_Bericht_2023.pdf</t>
  </si>
  <si>
    <t xml:space="preserve">-0,99 Mrd. EUR</t>
  </si>
  <si>
    <t xml:space="preserve">fehlend</t>
  </si>
  <si>
    <t xml:space="preserve">Im Jahr 2024 fehl Umsatzprognose</t>
  </si>
  <si>
    <t xml:space="preserve">-0,14 Mrd. EUR</t>
  </si>
  <si>
    <t xml:space="preserve">2024: https://www.basf.com/dam/jcr:d3e39e4b-cfca-49fc-8df8-984053c2a322/basf/www/global/documents/de/investor-relations/calendar-and-publications/reports/2025/BASF_Bericht_2024.pdf?vid=lIIH3WpJGD7dq3XzAnQeXe.7T7O_Rv6h</t>
  </si>
  <si>
    <t xml:space="preserve">KPI2 bei BASF: EBIT vor Sondereinfluessen (Kennzeichnung '*' aus KPI-Spalte hierher verschoben)</t>
  </si>
  <si>
    <t xml:space="preserve">2019: https://www.bayer.com/sites/default/files/2020-11/geschaeftsbericht-2019-der-bayer-ag.pdf</t>
  </si>
  <si>
    <t xml:space="preserve">-2,60 Mrd. EUR</t>
  </si>
  <si>
    <t xml:space="preserve">2020: https://www.bayer.com/sites/default/files/2021-02/Bayer-Geschaeftsbericht-2020.pdf</t>
  </si>
  <si>
    <t xml:space="preserve">-0,84 Mrd. EUR</t>
  </si>
  <si>
    <t xml:space="preserve">2021: https://www.bayer.com/sites/default/files/2022-03/Bayer-Geschaeftsbericht-2021.pdf</t>
  </si>
  <si>
    <t xml:space="preserve">-2,30 PP</t>
  </si>
  <si>
    <t xml:space="preserve">-2,40 PP</t>
  </si>
  <si>
    <t xml:space="preserve">2022: https://www.bayer.com/sites/default/files/2023-02/Bayer-Geschaeftsbericht-2022.pdf</t>
  </si>
  <si>
    <t xml:space="preserve">1,20 PP</t>
  </si>
  <si>
    <t xml:space="preserve">-2,36 Mrd. EUR</t>
  </si>
  <si>
    <t xml:space="preserve">2023: https://www.bayer.com/sites/default/files/2024-03/bayer-geschaeftsbericht-2023.pdf</t>
  </si>
  <si>
    <t xml:space="preserve">-0,79 Mrd. EUR</t>
  </si>
  <si>
    <t xml:space="preserve">2024: https://www.bayer.com/sites/default/files/2025-03/bayer-geschaeftsbericht-2024.pdf</t>
  </si>
  <si>
    <t xml:space="preserve">-0,28 Mrd. EUR</t>
  </si>
  <si>
    <t xml:space="preserve">-9,80 PP</t>
  </si>
  <si>
    <t xml:space="preserve">-8,70 PP</t>
  </si>
  <si>
    <t xml:space="preserve">I</t>
  </si>
  <si>
    <t xml:space="preserve">-1,70 PP</t>
  </si>
  <si>
    <t xml:space="preserve">-2,20 PP</t>
  </si>
  <si>
    <t xml:space="preserve">15,40 PP</t>
  </si>
  <si>
    <t xml:space="preserve">Da durch die Pandemie die Prognosefähigkeit beeinträchtigt war, wurden keine konkrete Werte geschätzt.</t>
  </si>
  <si>
    <t xml:space="preserve">Von positivem Umsatzwachstum ausgegangen</t>
  </si>
  <si>
    <t xml:space="preserve">0,40 PP</t>
  </si>
  <si>
    <t xml:space="preserve">Wird unter Vorjahresniveau erwartet</t>
  </si>
  <si>
    <t xml:space="preserve">verbal-quantifiziert</t>
  </si>
  <si>
    <t xml:space="preserve">0,50 PP</t>
  </si>
  <si>
    <t xml:space="preserve">2022: https://reports.beiersdorf.com/geschaeftsbericht/2022/_assets/downloads/entire-beiersdorf-gb22.pdf?h=BWs5hys8</t>
  </si>
  <si>
    <t xml:space="preserve">0,20 PP</t>
  </si>
  <si>
    <t xml:space="preserve">Leicht über Vorjahr geschätzt</t>
  </si>
  <si>
    <t xml:space="preserve">0,60 PP</t>
  </si>
  <si>
    <t xml:space="preserve">2023: https://reports.beiersdorf.com/geschaeftsbericht/2023/_assets/downloads/entire-beiersdorf-gb23.pdf?h=YzK4wNp_</t>
  </si>
  <si>
    <t xml:space="preserve">-0,70 PP</t>
  </si>
  <si>
    <t xml:space="preserve">-1,2 PP</t>
  </si>
  <si>
    <t xml:space="preserve">-4,30 PP</t>
  </si>
  <si>
    <t xml:space="preserve">2024: https://reports.beiersdorf.com/geschaeftsbericht/2024/_assets/downloads/entire-beiersdorf-gb24.pdf?h=R7Y3_PC-</t>
  </si>
  <si>
    <t xml:space="preserve">1,40 PP</t>
  </si>
  <si>
    <t xml:space="preserve">2019: https://www.bmwgroup.com/content/dam/grpw/websites/bmwgroup_com/ir/downloads/de/2020/gb/BMW-GB19_de_Finanzbericht.pdf</t>
  </si>
  <si>
    <t xml:space="preserve">2020: https://www.bmwgroup.com/content/dam/grpw/websites/bmwgroup_com/ir/downloads/de/2021/bericht/BMW-Group-Bericht-2020-DE.pdf</t>
  </si>
  <si>
    <t xml:space="preserve">7,60 PP</t>
  </si>
  <si>
    <t xml:space="preserve">2021: https://www.bmwgroup.com/content/dam/grpw/websites/bmwgroup_com/ir/downloads/de/2022/bericht/BMW-Group-Bericht-2021-de.pdf</t>
  </si>
  <si>
    <t xml:space="preserve">2022: https://www.bmwgroup.com/content/dam/grpw/websites/bmwgroup_com/ir/downloads/de/2023/bericht/BMW-Group-Bericht-2022-de.pdf</t>
  </si>
  <si>
    <t xml:space="preserve">2023: https://www.bmwgroup.com/content/dam/grpw/websites/bmwgroup_com/ir/downloads/de/2024/bericht/BMW-Group-Bericht-2023-de.pdf</t>
  </si>
  <si>
    <t xml:space="preserve">-3,50 PP</t>
  </si>
  <si>
    <t xml:space="preserve">2024: https://www.bmwgroup.com/de/bericht/2024/downloads/BMW-Group-Bericht-2024-de.pdf</t>
  </si>
  <si>
    <t xml:space="preserve">2019: https://www.continental.com/fileadmin/__imported/sites/corporate/_international/german/hubpages/30_20investor_20relations/40_20finanzberichte/gesch_c3_a4ftsberichte/downloads/gesch_c3_a4ftsbericht_202019.pdf</t>
  </si>
  <si>
    <t xml:space="preserve">-4,80 Mrd. EUR</t>
  </si>
  <si>
    <t xml:space="preserve">2020: https://www.continental.com/fileadmin/__imported/sites/corporate/_international/german/hubpages/30_20investor_20relations/40_20finanzberichte/gesch_c3_a4ftsberichte/downloads/gesch_c3_a4ftsbericht_202020.pdf</t>
  </si>
  <si>
    <t xml:space="preserve">-3,90 PP</t>
  </si>
  <si>
    <t xml:space="preserve">-2 PP</t>
  </si>
  <si>
    <t xml:space="preserve">-6,70 Mrd. EUR</t>
  </si>
  <si>
    <t xml:space="preserve">2021: https://www.continental.com/fileadmin/__imported/sites/corporate/_international/german/hubpages/30_20investor_20relations/40_20finanzberichte/gesch_c3_a4ftsberichte/downloads/continental_geschaeftsbericht_2021_so.pdf</t>
  </si>
  <si>
    <t xml:space="preserve">2,10 PP</t>
  </si>
  <si>
    <t xml:space="preserve">2022: https://www.continental.com/fileadmin/__imported/sites/corporate/_international/german/hubpages/30_20investor_20relations/40_20finanzberichte/gesch_c3_a4ftsberichte/downloads/continental_geschaeftsbericht_2022.pdf</t>
  </si>
  <si>
    <t xml:space="preserve">-0,60 PP</t>
  </si>
  <si>
    <t xml:space="preserve">-0,60 Mrd. EUR</t>
  </si>
  <si>
    <t xml:space="preserve">2023: https://www.continental.com/fileadmin/__imported/sites/corporate/_international/german/hubpages/30_20investor_20relations/40_20finanzberichte/gesch_c3_a4ftsberichte/downloads/geschaeftsbericht_2023.pdf</t>
  </si>
  <si>
    <t xml:space="preserve">1,10 PP</t>
  </si>
  <si>
    <t xml:space="preserve">-1,30 Mrd. EUR</t>
  </si>
  <si>
    <t xml:space="preserve">2024: https://www.continental.com/fileadmin/__imported/sites/corporate/_international/german/hubpages/30_20investor_20relations/40_20finanzberichte/gesch_c3_a4ftsberichte/downloads/geschaeftsbericht-2024.pdf</t>
  </si>
  <si>
    <t xml:space="preserve">0,70 PP</t>
  </si>
  <si>
    <t xml:space="preserve">2019: https://bericht.covestro.com/geschaeftsbericht-2019/serviceseiten/downloads/files/covestro_gb19_gesamt.pdf</t>
  </si>
  <si>
    <t xml:space="preserve">Beide KPI's fehlen im Jahr 2019 und 2020</t>
  </si>
  <si>
    <t xml:space="preserve">2020: https://www.bericht.covestro.com/geschaeftsbericht-2020/serviceseiten/downloads/files/covestro-ar20-entire.pdf</t>
  </si>
  <si>
    <t xml:space="preserve">2021: https://bericht.covestro.com/geschaeftsbericht-2021/serviceseiten/downloads/files/entire-covestro-ar21.pdf</t>
  </si>
  <si>
    <t xml:space="preserve">Umsatzprognose als KPI fehlt</t>
  </si>
  <si>
    <t xml:space="preserve">-883 Mio. EUR</t>
  </si>
  <si>
    <t xml:space="preserve">2022: https://bericht.covestro.com/geschaeftsbericht-2022/_assets/downloads/covestro-ar22-entire.pdf</t>
  </si>
  <si>
    <t xml:space="preserve">2023: https://bericht.covestro.com/geschaeftsbericht-2023/_assets/downloads/covestro-ar23-entire.pdf</t>
  </si>
  <si>
    <t xml:space="preserve">Deutlich unterhalb des Vorjahres</t>
  </si>
  <si>
    <t xml:space="preserve">2024: https://geschaeftsbericht.covestro.com/ecomaXL/files/Covestro_2024_GB_DE.pdf</t>
  </si>
  <si>
    <t xml:space="preserve">2019: https://group.mercedes-benz.com/dokumente/investoren/berichte/geschaeftsberichte/daimler/daimler-ir-geschaeftsbericht-2019-inkl-zusammengefasster-lagebericht-daimler-ag.pdf</t>
  </si>
  <si>
    <t xml:space="preserve">Veränderung von -11%, richtung verfehlt</t>
  </si>
  <si>
    <t xml:space="preserve">2020: https://group.mercedes-benz.com/dokumente/investoren/berichte/geschaeftsberichte/daimler/daimler-ir-geschaeftsbericht-2020-inkl-zusammengefasster-lagebericht-daimler-ag.pdf</t>
  </si>
  <si>
    <t xml:space="preserve">Bewegungen auf Niveau des Vorjahres</t>
  </si>
  <si>
    <t xml:space="preserve">% (bereinigte Umsatzrendite)</t>
  </si>
  <si>
    <t xml:space="preserve">Eingetroffen, fortgeführte Aktivitäten +9%</t>
  </si>
  <si>
    <t xml:space="preserve">2021: https://group.mercedes-benz.com/dokumente/investoren/berichte/geschaeftsberichte/mercedes-benz/mercedes-benz-ir-geschaeftsbericht-2021-inkl-zusammengefasster-lagebericht-mbg-ag.pdf</t>
  </si>
  <si>
    <t xml:space="preserve">Deutlich über dem Vorjahresniveau</t>
  </si>
  <si>
    <t xml:space="preserve">5,80 PP</t>
  </si>
  <si>
    <t xml:space="preserve">Richtung getroffen, intensität übertroffen +12% (deutlich über)</t>
  </si>
  <si>
    <t xml:space="preserve">2022: https://group.mercedes-benz.com/dokumente/investoren/berichte/geschaeftsberichte/mercedes-benz/mercedes-benz-geschaeftsbericht-2022-inkl-zusammengefasster-lagebericht-mbg-ag.pdf</t>
  </si>
  <si>
    <t xml:space="preserve">Leicht über dem Vorjahresniveau</t>
  </si>
  <si>
    <t xml:space="preserve">1,50 PP</t>
  </si>
  <si>
    <t xml:space="preserve">2% über Vorjahresniveau</t>
  </si>
  <si>
    <t xml:space="preserve">2023: https://group.mercedes-benz.com/dokumente/investoren/berichte/geschaeftsberichte/mercedes-benz/mercedes-benz-geschaeftsbericht-2023-inkl-zusammengefasster-lagebericht-mbg-ag.pdf</t>
  </si>
  <si>
    <t xml:space="preserve">-4% unter Vorjahresniveau</t>
  </si>
  <si>
    <t xml:space="preserve">2024: https://group.mercedes-benz.com/dokumente/investoren/berichte/geschaeftsberichte/mercedes-benz/mercedes-benz-geschaeftsbericht-2024-inkl-zusammengefasster-lagebericht-mbg-ag.pdf</t>
  </si>
  <si>
    <t xml:space="preserve">-4,50 PP</t>
  </si>
  <si>
    <t xml:space="preserve">-1,90 PP</t>
  </si>
  <si>
    <t xml:space="preserve">2019: https://investor-relations.db.com/files/documents/annual-reports/Deutsche_Bank_Geschaeftsbericht_2019.pdf?language_id=3</t>
  </si>
  <si>
    <t xml:space="preserve">2020: https://investor-relations.db.com/files/documents/annual-reports/Geschaeftsbericht_2020.pdf?language_id=3</t>
  </si>
  <si>
    <t xml:space="preserve">Im Vergleich zum Vorjahr geringfügig niedriger</t>
  </si>
  <si>
    <t xml:space="preserve">11,10 PP</t>
  </si>
  <si>
    <t xml:space="preserve">Gestiegen</t>
  </si>
  <si>
    <t xml:space="preserve">Sinkend/Belastet</t>
  </si>
  <si>
    <t xml:space="preserve">2020: https://investor-relations.db.com/files/documents/annual-reports/Geschaeftsbericht_2020.pdf?language_id=2</t>
  </si>
  <si>
    <t xml:space="preserve">2021: https://investor-relations.db.com/files/documents/annual-reports/2022/Geschaeftsbericht_2021.pdf</t>
  </si>
  <si>
    <t xml:space="preserve">2022: https://investor-relations.db.com/files/documents/annual-reports/2023/Geschaeftsbericht-2022.pdf</t>
  </si>
  <si>
    <t xml:space="preserve">5,60 PP</t>
  </si>
  <si>
    <t xml:space="preserve">2023: https://investor-relations.db.com/files/documents/annual-reports/2024/DB-AG-Geschaeftsbericht-2023.pdf</t>
  </si>
  <si>
    <t xml:space="preserve">2024: https://investor-relations.db.com/files/documents/other-presentations-and-events/2024/Geschaeftsbericht-2024-3.pdf</t>
  </si>
  <si>
    <t xml:space="preserve">2019: https://www.deutsche-boerse.com/resource/blob/1749860/8ee22f267b84c67dc6776364e4d5d7f4/data/GDB-Geschaeftsbericht-2019.pdf</t>
  </si>
  <si>
    <t xml:space="preserve">2020: https://www.deutsche-boerse.com/resource/blob/2375638/9a085f1cd07c831a22a7934d533864b6/data/GDB-Geschaeftsbericht-2020.pdf</t>
  </si>
  <si>
    <t xml:space="preserve">Korrektur 09/2026: Unter- und Obergrenze identisch (3,08) -&gt; als Punktprognose kodiert</t>
  </si>
  <si>
    <t xml:space="preserve">2021: https://www.deutsche-boerse.com/resource/blob/2726052/e7f5561fc3c47ede792e04c0c3d824ad/data/GDB-Geschaeftsbericht-2021.pdf</t>
  </si>
  <si>
    <t xml:space="preserve">2022: https://www.deutsche-boerse.com/resource/blob/3374250/f4ff0100dab4e1231f5b903bdca4e6a7/data/GDB-Geschaeftsbericht-2022.pdf</t>
  </si>
  <si>
    <t xml:space="preserve">2023: https://www.deutsche-boerse.com/resource/blob/3811978/79e033d9ff1ae3dba9c4297ee3348c4f/data/GDB-Geschaeftsbericht-2023.pdf</t>
  </si>
  <si>
    <t xml:space="preserve">2024: https://www.deutsche-boerse.com/resource/blob/4191614/7f772fdf9e768f3dbe56bda43a44ec42/data/GDB-Geschaeftsbericht-2024.pdf</t>
  </si>
  <si>
    <t xml:space="preserve">+ 5,60</t>
  </si>
  <si>
    <t xml:space="preserve">+ 3,20</t>
  </si>
  <si>
    <t xml:space="preserve">2019: https://group.dhl.com/content/dam/deutschepostdhl/de/media-center/investors/documents/geschaeftsberichte/DPDHL-Geschaeftsbericht-2019.pdf</t>
  </si>
  <si>
    <t xml:space="preserve">-0,20 Mrd. EUR</t>
  </si>
  <si>
    <t xml:space="preserve">2020: https://reporting-hub.group.dhl.com/ecomaXL/files/DPDHL-Geschaeftsbericht-2020.pdf</t>
  </si>
  <si>
    <t xml:space="preserve">+ 5</t>
  </si>
  <si>
    <t xml:space="preserve">2021: https://group.dhl.com/content/dam/deutschepostdhl/de/media-center/investors/documents/geschaeftsberichte/DPDHL-Geschaeftsbericht-2021.pdf</t>
  </si>
  <si>
    <t xml:space="preserve">2022: https://group.dhl.com/content/dam/deutschepostdhl/de/media-center/investors/documents/geschaeftsberichte/DPDHL-Geschaeftsbericht-2022.pdf</t>
  </si>
  <si>
    <t xml:space="preserve">2023: https://group.dhl.com/content/dam/deutschepostdhl/de/media-center/investors/documents/geschaeftsberichte/DHL-Group-Geschaeftsbericht-2023.pdf</t>
  </si>
  <si>
    <t xml:space="preserve">-0,10 Mrd. EUR</t>
  </si>
  <si>
    <t xml:space="preserve">2024: https://group.dhl.com/content/dam/deutschepostdhl/de/media-center/investors/documents/geschaeftsberichte/DHL-Group-Geschaeftsbericht-2024.pdf</t>
  </si>
  <si>
    <t xml:space="preserve">2019: https://bericht.telekom.com/geschaeftsbericht-2019/serviceseiten/downloads/files/entire_dtag_gb19.pdf</t>
  </si>
  <si>
    <t xml:space="preserve">2020: https://bericht.telekom.com/geschaeftsbericht-2020/_assets/downloads/entire-dtag-gb20.pdf</t>
  </si>
  <si>
    <t xml:space="preserve">Weiterer Anstieg erwartet</t>
  </si>
  <si>
    <t xml:space="preserve">2021: https://bericht.telekom.com/geschaeftsbericht-2021/_assets/downloads/entire-dtag-gb21.pdf</t>
  </si>
  <si>
    <t xml:space="preserve">Leichter Anstieg erwartet</t>
  </si>
  <si>
    <t xml:space="preserve">2022: https://bericht.telekom.com/geschaeftsbericht-2022/_assets/downloads/entire-dtag-gb22.pdf</t>
  </si>
  <si>
    <t xml:space="preserve">Stabiler Verlauf erwartet</t>
  </si>
  <si>
    <t xml:space="preserve">Keinen Ansteig, gefallen um 2,40 Mrd. EUR</t>
  </si>
  <si>
    <t xml:space="preserve">2023: https://bericht.telekom.com/geschaeftsbericht-2023/_assets/downloads/entire-dtag-gb23.pdf</t>
  </si>
  <si>
    <t xml:space="preserve">-0,30 Mrd. EUR</t>
  </si>
  <si>
    <t xml:space="preserve">2024: https://bericht.telekom.com/geschaeftsbericht-2024/_assets/downloads/entire-dtag-gb24.pdf</t>
  </si>
  <si>
    <t xml:space="preserve">2019: https://www.eon.com/content/dam/eon/eon-com/investors/annual-report/GB19_D_final.pdf</t>
  </si>
  <si>
    <t xml:space="preserve">-0.10 Mrd. EUR</t>
  </si>
  <si>
    <t xml:space="preserve">2020: https://www.eon.com/content/dam/eon/eon-com/eon-com-assets/documents/investor-relations/de/geschaeftsbericht/GB20_D_final_internet.pdf</t>
  </si>
  <si>
    <t xml:space="preserve">2021: https://www.eon.com/content/dam/eon/eon-com/eon-com-assets/documents/investor-relations/de/geschaeftsbericht/GB21_D_gesamt.pdf</t>
  </si>
  <si>
    <t xml:space="preserve">2022: https://www.eon.com/content/dam/eon/eon-com/eon-com-assets/documents/investor-relations/de/geschaeftsbericht/GB2022_gesamt_DE_final.pdf</t>
  </si>
  <si>
    <t xml:space="preserve">2023: https://www.eon.com/content/dam/eon/eon-com/eon-com-assets/documents/investor-relations/de/geschaeftsbericht/EON_GB2023_gesamt_dt_final.pdf</t>
  </si>
  <si>
    <t xml:space="preserve">2024: https://www.eon.com/content/dam/eon/eon-com/eon-com-assets/documents/investor-relations/de/geschaeftsbericht/GB24-gesamt-DE_final.pdf</t>
  </si>
  <si>
    <t xml:space="preserve">2019: https://www.fresenius.com/sites/default/files/2022-01/Fresenius_Geschaeftsbericht_2019.pdf</t>
  </si>
  <si>
    <t xml:space="preserve">Anstieg beträgt 2,45%, also 1,55 PP unter Prognose</t>
  </si>
  <si>
    <t xml:space="preserve">2020: https://www.fresenius.com/sites/default/files/2022-02/Fresenius_Geschaeftsbericht_2020.pdf</t>
  </si>
  <si>
    <t xml:space="preserve">Gefallen</t>
  </si>
  <si>
    <t xml:space="preserve">2021: https://www.fresenius.com/sites/default/files/2021-11/Fresenius_Geschaeftsbericht_2021.pdf</t>
  </si>
  <si>
    <t xml:space="preserve">Korrektur 09/2026: Prognoseform von qualitativ auf verbal-quantifiziert geändert (Spanne aus Wachstumsangabe abgeleitet)</t>
  </si>
  <si>
    <t xml:space="preserve">Stabil</t>
  </si>
  <si>
    <t xml:space="preserve">2022: https://report.fresenius.com/2024/geschaeftsbericht/_assets/downloads/fresenius-geschaeftsbericht-2022.pdf</t>
  </si>
  <si>
    <t xml:space="preserve">2023: https://www.fresenius.com/sites/default/files/2024-04/Fresenius_Geschaeftsbericht_2023_0.pdf</t>
  </si>
  <si>
    <t xml:space="preserve">Die Vorjahreswerte wurden infolge der Anwendung von IFRS 5 auf die dekonsolidierten Aktivitäten der Fresenius Medical Care angepasst. | Korrektur 09/2026: Prognoseform von qualitativ auf verbal-quantifiziert geändert (Spanne aus Wachstumsangabe abgeleitet)</t>
  </si>
  <si>
    <t xml:space="preserve">2024: https://www.fresenius.com/sites/default/files/2025-03/Fresenius_Geschaeftsbericht_2024.pdf</t>
  </si>
  <si>
    <t xml:space="preserve">Die Vorjahreswerte wurden infolge von Desinvestitionen und der Dekonsolidierung der Fresenius Medical Care angepasst</t>
  </si>
  <si>
    <t xml:space="preserve">2019: https://freseniusmedicalcare.com/content/dam/fresenius-medical-care/global/en/03_investors/pdf/03_publications/2019/FME_Geschaeftsbericht_2019.pdf</t>
  </si>
  <si>
    <t xml:space="preserve">Wachstumsrate von 2,19%</t>
  </si>
  <si>
    <t xml:space="preserve">2020: https://freseniusmedicalcare.com/content/dam/fresenius-medical-care/global/en/03_investors/pdf/03_publications/2020/FME_Geschaeftsbericht_2020_DE.pdf</t>
  </si>
  <si>
    <t xml:space="preserve">2021: https://freseniusmedicalcare.com/content/dam/fresenius-medical-care/global/en/04_media/pdf/FME_Geschaeftsbericht_2021_DE.pdf</t>
  </si>
  <si>
    <t xml:space="preserve">2022: https://freseniusmedicalcare.com/content/dam/fresenius-medical-care/global/en/04_media/pdf/FME_Geschaeftsbericht_2022_DE%20(1).pdf</t>
  </si>
  <si>
    <t xml:space="preserve">2023: https://freseniusmedicalcare.com/content/dam/fresenius-medical-care/global/en/04_media/pdf/FME_Geschaeftsbericht_2023_DE.pdf</t>
  </si>
  <si>
    <t xml:space="preserve">2024: https://freseniusmedicalcare.com/content/dam/fresenius-medical-care/global/en/04_media/pdf/publications/2024/FME_Geschaeftsbericht_2024_DE.pdf</t>
  </si>
  <si>
    <t xml:space="preserve">Wachstumsrate von 3,22%</t>
  </si>
  <si>
    <t xml:space="preserve">2019: https://www.heidelbergmaterials.com/sites/default/files/assets/document/7f/dd/geschaeftsbericht_2019.pdf</t>
  </si>
  <si>
    <t xml:space="preserve">2020: https://www.heidelbergmaterials.com/sites/default/files/assets/document/75/70/geschaeftsbericht-heidelbergcement-2020.pdf</t>
  </si>
  <si>
    <t xml:space="preserve">2021: https://www.heidelbergmaterials.com/sites/default/files/2022-03/geschaeftsbericht-heidelbergcement-2021_0.pdf</t>
  </si>
  <si>
    <t xml:space="preserve">2022: https://www.heidelbergmaterials.com/sites/default/files/2023-05/HM_Gesch%C3%A4fts-_und_Nachhaltigkeitsbericht_2022.pdf</t>
  </si>
  <si>
    <t xml:space="preserve">Starker Anstieg erwartet</t>
  </si>
  <si>
    <t xml:space="preserve">2023: https://www.heidelbergmaterials.com/sites/default/files/2024-03/HM_GNB_2023.pdf</t>
  </si>
  <si>
    <t xml:space="preserve">Moderater Anstieg erwartet</t>
  </si>
  <si>
    <t xml:space="preserve">2024: https://www.heidelbergmaterials.com/sites/default/files/2025-03/HM_GNB24_de.pdf</t>
  </si>
  <si>
    <t xml:space="preserve">2019: https://www.henkel.de/resource/blob/1040424/11874f9ee6952bd69c7dbd27d4055ce7/data/2019-gesch%C3%A3-ftsbericht.pdf</t>
  </si>
  <si>
    <t xml:space="preserve">2020: https://www.henkel.de/resource/blob/1155328/2926cc4d3ef39d7cd9a697d086b5148f/data/2020-geschaeftsbericht.pdf</t>
  </si>
  <si>
    <t xml:space="preserve">-2,60 PP</t>
  </si>
  <si>
    <t xml:space="preserve">-1,60 PP</t>
  </si>
  <si>
    <t xml:space="preserve">8,50 PP</t>
  </si>
  <si>
    <t xml:space="preserve">2021: https://www.henkel.de/resource/blob/1616946/7f5691aca6fc912c747feeb33c396216/data/2021-geschaeftsbericht.pdf</t>
  </si>
  <si>
    <t xml:space="preserve">0 PP</t>
  </si>
  <si>
    <t xml:space="preserve">-0,10 PP</t>
  </si>
  <si>
    <t xml:space="preserve">1 PP</t>
  </si>
  <si>
    <t xml:space="preserve">2022: https://www.henkel.de/resource/blob/1804848/f0b1d97b296713dae1934cad8271fb8d/data/2022-geschaeftsbericht.pdf</t>
  </si>
  <si>
    <t xml:space="preserve">-1,10 PP</t>
  </si>
  <si>
    <t xml:space="preserve">-4,60 PP</t>
  </si>
  <si>
    <t xml:space="preserve">2023: https://www.henkel.de/resource/blob/1935230/dec84c608d79c0ca2694cb169108e9cf/data/2023-geschaeftsbericht.pdf</t>
  </si>
  <si>
    <t xml:space="preserve">2024: https://www.henkel.de/resource/blob/2043308/44441de22bcd27879af8d79d7cde562b/data/2024-geschaeftsbericht.pdf</t>
  </si>
  <si>
    <t xml:space="preserve">2,40 PP</t>
  </si>
  <si>
    <t xml:space="preserve">2019: https://www.infineon.com/assets/row/public/documents/corporate/investors/annual-reports/2019/infineon-geschaeftsbericht-report-v10-00-de.pdf</t>
  </si>
  <si>
    <t xml:space="preserve">2020: https://www.infineon.com/assets/row/public/documents/corporate/investors/annual-reports/2020/infineon-geschaeftsbericht-report-v11-00-de.pdf</t>
  </si>
  <si>
    <t xml:space="preserve">Unter Berücksichtigung der Akquisition von Cypress</t>
  </si>
  <si>
    <t xml:space="preserve">Deutlicher Anstieg</t>
  </si>
  <si>
    <t xml:space="preserve">-2,70 PP</t>
  </si>
  <si>
    <t xml:space="preserve">Rückgang</t>
  </si>
  <si>
    <t xml:space="preserve">2021: https://www.infineon.com/assets/row/public/documents/corporate/investors/annual-reports/2021/infineon-geschaeftsbericht-report-v12-00-de.pdf</t>
  </si>
  <si>
    <t xml:space="preserve">5 PP</t>
  </si>
  <si>
    <t xml:space="preserve">2022: https://www.infineon.com/assets/row/public/documents/corporate/investors/annual-reports/2022/infineon-geschaeftsbericht-report-v13-00-de.pdf</t>
  </si>
  <si>
    <t xml:space="preserve">5,10 PP</t>
  </si>
  <si>
    <t xml:space="preserve">2023: https://www.infineon.com/assets/row/public/documents/corporate/investors/annual-reports/2023/2023-infineon-geschaeftsbericht-v01-00-de1.pdf</t>
  </si>
  <si>
    <t xml:space="preserve">3,20 PP</t>
  </si>
  <si>
    <t xml:space="preserve">-1.545 Mio. EUR</t>
  </si>
  <si>
    <t xml:space="preserve">2024: https://www.infineon.com/assets/row/public/documents/corporate/investors/annual-reports/2024/2024-infineon-geschaeftsbericht-v01-00-de.pdf</t>
  </si>
  <si>
    <t xml:space="preserve">-6,20 PP</t>
  </si>
  <si>
    <t xml:space="preserve">-3,20 PP</t>
  </si>
  <si>
    <t xml:space="preserve">2019: https://investor-relations.lufthansagroup.com/fileadmin/downloads/de/finanzberichte/geschaeftsberichte/LH-GB-2019-d.pdf</t>
  </si>
  <si>
    <t xml:space="preserve">2020: https://investor-relations.lufthansagroup.com/fileadmin/downloads/de/finanzberichte/geschaeftsberichte/LH-GB-2020-d.pdf</t>
  </si>
  <si>
    <t xml:space="preserve">Ergebnisrückgang vermutet, also Prognose über Konzernergebnis</t>
  </si>
  <si>
    <t xml:space="preserve">2021: https://investor-relations.lufthansagroup.com/fileadmin/downloads/de/finanzberichte/geschaeftsberichte/LH-GB-2021-d.pdf</t>
  </si>
  <si>
    <t xml:space="preserve">Anstieg erwartet</t>
  </si>
  <si>
    <t xml:space="preserve">Um 3,1 Mrd. EUR gestiegen</t>
  </si>
  <si>
    <t xml:space="preserve">Unterhalb des Vorjahres</t>
  </si>
  <si>
    <t xml:space="preserve">2022: https://investor-relations.lufthansagroup.com/fileadmin/downloads/de/finanzberichte/geschaeftsberichte/LH-GB-2022-d.pdf</t>
  </si>
  <si>
    <t xml:space="preserve">Oberhalb Vorjahr erwartet</t>
  </si>
  <si>
    <t xml:space="preserve">Vorjahreszahl angepasst aufgrund von Anpassungen der Kennzahlendefinition</t>
  </si>
  <si>
    <t xml:space="preserve">Richtung getroffen</t>
  </si>
  <si>
    <t xml:space="preserve">2023: https://investor-relations.lufthansagroup.com/fileadmin/downloads/de/finanzberichte/geschaeftsberichte/LH-GB-2023-d.pdf</t>
  </si>
  <si>
    <t xml:space="preserve">Vorjahreszahlen angepasst aufgrund des Verkaufs der LSG Group</t>
  </si>
  <si>
    <t xml:space="preserve">Deutlicher Anstieg erwartet</t>
  </si>
  <si>
    <t xml:space="preserve">2024: https://investor-relations.lufthansagroup.com/fileadmin/downloads/de/finanzberichte/geschaeftsberichte/LH-GB-2024-d.pdf</t>
  </si>
  <si>
    <t xml:space="preserve">2019: https://www.merckgroup.com/investors/reports-and-financials/earnings-materials/2019-q4/de/2019-Q4-Report-DE.pdf</t>
  </si>
  <si>
    <t xml:space="preserve">2020: https://reports.merckgroup.com/de/geschaeftsbericht/2020/serviceseiten/downloads/files/entire-merck-gb20.pdf</t>
  </si>
  <si>
    <t xml:space="preserve">Solides Wachstum</t>
  </si>
  <si>
    <t xml:space="preserve">Starkes Wachstum</t>
  </si>
  <si>
    <t xml:space="preserve">2021: https://reports.merckgroup.com/de/geschaeftsbericht/2021/_assets/downloads/entire-merck-gb21.pdf</t>
  </si>
  <si>
    <t xml:space="preserve">Wachstum im prozentual hohen einstelligen bis niedrigen Zehnerbereich</t>
  </si>
  <si>
    <t xml:space="preserve">2022: https://reports.merckgroup.com/de/geschaeftsbericht/2022/_assets/downloads/entire-merck-gb22.pdf</t>
  </si>
  <si>
    <t xml:space="preserve">2023: https://reports.merckgroup.com/de/geschaeftsbericht/2023/_assets/downloads/entire-merck-gb23.pdf</t>
  </si>
  <si>
    <t xml:space="preserve">Leichtes bis solides Wachstum</t>
  </si>
  <si>
    <t xml:space="preserve">Moderater Rückgang bis in etwa stabil</t>
  </si>
  <si>
    <t xml:space="preserve">2024: https://reports.merckgroup.com/de/geschaeftsbericht/2024/_assets/downloads/entire-merck-gb24.pdf</t>
  </si>
  <si>
    <t xml:space="preserve">Leichtes bis moderates Wachstum</t>
  </si>
  <si>
    <t xml:space="preserve">2019: https://www.mtu.de/fileadmin/DE/5_Investoren/Financial_Report/2019_Geschaeftsbericht.pdf</t>
  </si>
  <si>
    <t xml:space="preserve">2020: https://www.mtu.de/fileadmin/DE/5_Investoren/Financial_Report/Geschaeftsbericht_2020_de_locked.pdf</t>
  </si>
  <si>
    <t xml:space="preserve">Wachstum im niedrigen Zehner-Prozentbereich</t>
  </si>
  <si>
    <t xml:space="preserve">Wachstum im hohen einstelligen Prozentbereich</t>
  </si>
  <si>
    <t xml:space="preserve">-82 Mio. EUR</t>
  </si>
  <si>
    <t xml:space="preserve">2021: https://www.mtu.de/fileadmin/DE/5_Investoren/Financial_Report/MTU_Geschaeftsbericht_2021_de.pdf</t>
  </si>
  <si>
    <t xml:space="preserve">2022: https://www.mtu.de/fileadmin/DE/5_Investoren/Financial_Report/MTU_GB2022_de_mLinks_locked.pdf</t>
  </si>
  <si>
    <t xml:space="preserve">Wachstum im mittleren Zwanziger-Prozentbereich</t>
  </si>
  <si>
    <t xml:space="preserve">-737 Mio EUR</t>
  </si>
  <si>
    <t xml:space="preserve">2023: https://www.mtu.de/fileadmin/DE/5_Investoren/Financial_Report/MTU_GB2023_de_locked.pdf</t>
  </si>
  <si>
    <t xml:space="preserve">2024: https://www.mtu.de/fileadmin/DE/5_Investoren/Financial_Report/MTUAeroEnginesAG_Geschaeftsbericht_2024_de_locked.pdf</t>
  </si>
  <si>
    <t xml:space="preserve">Bereinigter Umsatz statt Umsatz</t>
  </si>
  <si>
    <t xml:space="preserve">2019: https://www.munichre.com/content/dam/munichre/mrwebsiteslaunches/2019-annual-report/MunichRe-Konzerngeschaeftsbericht-2019-de.pdf/_jcr_content/renditions/original./MunichRe-Konzerngeschaeftsbericht-2019-de.pdf</t>
  </si>
  <si>
    <t xml:space="preserve">-1.289 Mio. EUR</t>
  </si>
  <si>
    <t xml:space="preserve">2020: https://www.munichre.com/content/dam/munichre/mrwebsiteslaunches/2020-annual-report/MunichRe-Konzerngeschaeftsbericht-2020-de.pdf/_jcr_content/renditions/original./MunichRe-Konzerngeschaeftsbericht-2020-de.pdf</t>
  </si>
  <si>
    <t xml:space="preserve">2021: https://www.munichre.com/content/dam/munichre/mrwebsiteslaunches/2021-annual-report/MunichRe-Konzerngeschaeftsbericht-2021-de.pdf/_jcr_content/renditions/original./MunichRe-Konzerngeschaeftsbericht-2021-de.pdf</t>
  </si>
  <si>
    <t xml:space="preserve">2022: https://www.munichre.com/content/dam/munichre/mrwebsiteslaunches/2022-annual-report/MunichRe-Konzerngeschaeftsbericht-2022-de.pdf/_jcr_content/renditions/original./MunichRe-Konzerngeschaeftsbericht-2022-de.pdf</t>
  </si>
  <si>
    <t xml:space="preserve">2023: https://www.munichre.com/content/dam/munichre/mrwebsiteslaunches/2023-annual-report/MunichRe-Konzerngeschaeftsbericht-2023-de.pdf/_jcr_content/renditions/original./MunichRe-Konzerngeschaeftsbericht-2023-de.pdf</t>
  </si>
  <si>
    <t xml:space="preserve">Vorjahreszahlen angepasst aufgrund der Erstanwendung von IFRS 17 sowie Änderungen der Darstellung und Gliederung</t>
  </si>
  <si>
    <t xml:space="preserve">2024: https://www.munichre.com/content/dam/munichre/mrwebsiteslaunches/2024-annual-report/MunichRe-Konzerngeschaeftsbericht-2024-de.pdf/_jcr_content/renditions/original./MunichRe-Konzerngeschaeftsbericht-2024-de.pdf</t>
  </si>
  <si>
    <t xml:space="preserve">2019: https://www.rwe.com/-/media/RWE/documents/05-investor-relations/finanzkalendar-und-veroeffentlichungen/2019-Q4/20-03-12-RWE-Geschaeftsbericht-2019.pdf</t>
  </si>
  <si>
    <t xml:space="preserve">2020: https://www.rwe.com/-/media/RWE/documents/05-investor-relations/finanzkalendar-und-veroeffentlichungen/2020-Q4/2021-03-16-rwe-geschaeftsbericht-2020.pdf?sc_lang=de-DE</t>
  </si>
  <si>
    <t xml:space="preserve">2021: https://www.rwe.com/-/media/RWE/documents/05-investor-relations/finanzkalendar-und-veroeffentlichungen/2021-GJ/2022-03-15-rwe-geschaeftsbericht-2021.pdf?sc_lang=de-DE</t>
  </si>
  <si>
    <t xml:space="preserve">Angepasster Vorjahreswert infolge einer geänderten Erfassung von Steuervergünstigungen zur Förderung erneuerbarer Energien in den USA</t>
  </si>
  <si>
    <t xml:space="preserve">2022: https://www.rwe.com/-/media/RWE/documents/05-investor-relations/finanzkalendar-und-veroeffentlichungen/2022-GJ/2023-03-21-rwe-geschaeftsbericht-2022.pdf</t>
  </si>
  <si>
    <t xml:space="preserve">2023: https://www.rwe.com/-/media/RWE/documents/05-investor-relations/finanzkalendar-und-veroeffentlichungen/2023-Q4/2024-03-14-rwe-geschaeftsbericht-2023.pdf</t>
  </si>
  <si>
    <t xml:space="preserve">2024: https://www.rwe.com/-/media/RWE/documents/05-investor-relations/finanzkalendar-und-veroeffentlichungen/2024-gj/2025-03-20-rwe-geschaeftsbericht-2024.pdf</t>
  </si>
  <si>
    <t xml:space="preserve">Angepasster Vorjahreswert</t>
  </si>
  <si>
    <t xml:space="preserve">2019: https://www.sap.com/docs/download/investors/2019/sap-2019-integrierter-bericht.pdf</t>
  </si>
  <si>
    <t xml:space="preserve">-0,98 Mrd. EUR</t>
  </si>
  <si>
    <t xml:space="preserve">2020: https://www.sap.com/docs/download/investors/2020/sap-2020-integrierter-bericht.pdf</t>
  </si>
  <si>
    <t xml:space="preserve">-0,40 Mrd. EUR</t>
  </si>
  <si>
    <t xml:space="preserve">2021: https://www.sap.com/docs/download/investors/2021/sap-2021-integrierter-bericht.pdf</t>
  </si>
  <si>
    <t xml:space="preserve">2022: https://www.sap.com/docs/download/investors/2022/sap-2022-integrierter-bericht.pdf</t>
  </si>
  <si>
    <t xml:space="preserve">-0,12 Mrd. EUR</t>
  </si>
  <si>
    <t xml:space="preserve">-0,56 Mrd. EUR</t>
  </si>
  <si>
    <t xml:space="preserve">2023: https://www.sap.com/docs/download/investors/2023/sap-2023-integrierter-bericht.pdf</t>
  </si>
  <si>
    <t xml:space="preserve">2024: https://www.sap.com/docs/download/investors/2024/sap-2024-integrierter-bericht.pdf</t>
  </si>
  <si>
    <t xml:space="preserve">2019: https://assets.new.siemens.com/siemens/assets/api/uuid:bb722ca2-ba5e-4886-a59c-a31f5cb10508/siemens-gb2019.pdf</t>
  </si>
  <si>
    <t xml:space="preserve">2020: https://assets.new.siemens.com/siemens/assets/api/uuid:786b2ce1-f20b-4f53-a128-881370ba8155/siemens-gb2020.pdf</t>
  </si>
  <si>
    <t xml:space="preserve">Keine quantitative Konzernprognose -&gt; kein Fehlerwert; Ist 14,3 %</t>
  </si>
  <si>
    <t xml:space="preserve">Keine quantitative Konzern-Bandbreite; nur Segmentbänder prognostiziert | Nur Segmentbaender prognostiziert (z. B. Digital Industries 17-18 %), keine Konzern-Bandbreite (GB 2019, S. 28)</t>
  </si>
  <si>
    <t xml:space="preserve">2021: https://assets.ctfassets.net/17si5cpawjzf/6leM5qPTWTfQKBvYg32hhP/11d10b9bf64054f9b4302c528cfa9a0c/siemens-jahresbericht2021.pdf</t>
  </si>
  <si>
    <t xml:space="preserve">Vergütungsbericht, S.36</t>
  </si>
  <si>
    <t xml:space="preserve">Lagebericht; S.18</t>
  </si>
  <si>
    <t xml:space="preserve">Stark belastet - Fallend</t>
  </si>
  <si>
    <t xml:space="preserve">Lagebericht, S.27</t>
  </si>
  <si>
    <t xml:space="preserve">2022: https://assets.ctfassets.net/17si5cpawjzf/7uGAq7GadIzwuLAhfFBMBZ/ce4b67be533e9679953cf119220e3cf8/siemens-geschaftsbericht-2022-de.pdf</t>
  </si>
  <si>
    <t xml:space="preserve">Lagebericht, S.22</t>
  </si>
  <si>
    <t xml:space="preserve">Lagebericht, S.28</t>
  </si>
  <si>
    <t xml:space="preserve">EUR je Aktie (EPS pre PPA)</t>
  </si>
  <si>
    <t xml:space="preserve">Negativ außerhalb Prognose (unterhalb)</t>
  </si>
  <si>
    <t xml:space="preserve">Lagebericht, S.16</t>
  </si>
  <si>
    <t xml:space="preserve">Ist 5,47 EUR inkl. -3,37 EUR Wertminderung Siemens-Energy-Beteiligung; operativ im Zielkorridor -&gt; Sondereffekt bei Interpretation beruecksichtigen</t>
  </si>
  <si>
    <t xml:space="preserve">Lagebericht, S.25</t>
  </si>
  <si>
    <t xml:space="preserve">2,80 PP</t>
  </si>
  <si>
    <t xml:space="preserve">2023: https://assets.ctfassets.net/17si5cpawjzf/75NjPd0MkpOq6dkbksOUYX/e40b843c91dea22b80cf0dd8964410ef/siemens-annual-report-2023-de.pdf</t>
  </si>
  <si>
    <t xml:space="preserve">Ohne Berücksichtigung von Siemens Energy Beteiligung</t>
  </si>
  <si>
    <t xml:space="preserve">Lagebericht, S. 25</t>
  </si>
  <si>
    <t xml:space="preserve">-8 PP</t>
  </si>
  <si>
    <t xml:space="preserve">-1 PP</t>
  </si>
  <si>
    <t xml:space="preserve">2024: https://assets.new.siemens.com/siemens/assets/api/uuid:b0c27e7a-f0bf-48d6-bfa7-721ba225122b/Siemens-Geschaftsbericht-2024.pdf</t>
  </si>
  <si>
    <t xml:space="preserve">Lagebericht, S.23</t>
  </si>
  <si>
    <t xml:space="preserve">Mit Berücksichtigung von Siemens Energy Beteiligung</t>
  </si>
  <si>
    <t xml:space="preserve">2019: https://uploads.vw-mms.de/system/production/documents/cws/002/011/file_de/5df3fd3633e531afd8ea4650cfa37512da1841e2/Y_2019_d.pdf?1686141566</t>
  </si>
  <si>
    <t xml:space="preserve">2020: https://uploads.vw-mms.de/system/production/documents/cws/002/093/file_de/868835864332003640ad7f68cc0aa90eb25ed3c1/Y_2020_d.pdf?1686322713</t>
  </si>
  <si>
    <t xml:space="preserve">Bis zur 4% über dem Vorjahreswert</t>
  </si>
  <si>
    <t xml:space="preserve">2021: https://uploads.vw-mms.de/system/production/documents/cws/001/791/file_de/294a66ed40e570ea9dce9464773054069ecda16f/Y_2021_d.pdf?1712658733</t>
  </si>
  <si>
    <t xml:space="preserve">Signifikant über dem Vorjahreswert</t>
  </si>
  <si>
    <t xml:space="preserve">3,40 PP</t>
  </si>
  <si>
    <t xml:space="preserve">2022: https://uploads.vw-mms.de/system/production/documents/cws/001/677/file_de/8bf85b8f8987b66fb9492394ebb6886d7fc68e5b/Y_2022_d.pdf?1682597521</t>
  </si>
  <si>
    <t xml:space="preserve">8 bis 13% über dem Vorjahreswert</t>
  </si>
  <si>
    <t xml:space="preserve">2023: https://uploads.vw-mms.de/system/production/documents/cws/002/671/file_de/0638247dc949c755ddfa5ceba53df467a704db17/Y_2023_d.pdf?1711034295</t>
  </si>
  <si>
    <t xml:space="preserve">Das Vorjahr wurde angepasst (geänderter IFRS)</t>
  </si>
  <si>
    <t xml:space="preserve">10 bis 15% über dem Vorjahreswert</t>
  </si>
  <si>
    <t xml:space="preserve">-0,90 PP</t>
  </si>
  <si>
    <t xml:space="preserve">-0,50 PP</t>
  </si>
  <si>
    <t xml:space="preserve">2023: https://geschaeftsbericht2023.volkswagen-group.com/_assets/downloads/entire-vw-gb23.pdf?h=C2d89Y1l</t>
  </si>
  <si>
    <t xml:space="preserve">2024: https://uploads.vw-mms.de/system/production/documents/cws/002/931/file_de/953dcbb8e57270df70ca288218092dba4721fd63/2025-03-11-volkswagen-group-geschaeftsbericht-2024-de.pdf?1787732731</t>
  </si>
  <si>
    <t xml:space="preserve">Bis zur 5% über dem Vorjahreswert</t>
  </si>
  <si>
    <t xml:space="preserve">2019: https://reports.vonovia.de/2019/geschaeftsbericht/_assets/downloads/entire_vonovia_ar19.pdf</t>
  </si>
  <si>
    <t xml:space="preserve">2020: https://reports.vonovia.de/2020/geschaeftsbericht/_assets/downloads/entire-vonovia-ar20.pdf</t>
  </si>
  <si>
    <t xml:space="preserve">2021: https://report.vonovia.com/2021/q4/app/uploads/VONOVIA-SE_Geschaeftsbericht_2021.pdf</t>
  </si>
  <si>
    <t xml:space="preserve">Istwert exkl. Deutsche Wohnen SE (2021 erst von Vonovia übernommen)</t>
  </si>
  <si>
    <t xml:space="preserve">2022: https://report.vonovia.com/2022/q4/app/uploads/Vonovia-SE_Geschaeftsbericht-2022.pdf</t>
  </si>
  <si>
    <t xml:space="preserve">Basierend auf der neuen Definition 2022 ohne Eliminierung IFRS 16-Effekt</t>
  </si>
  <si>
    <t xml:space="preserve">Vorjahreswert an neue Bereinigtes EBITDA-Definition angepasst</t>
  </si>
  <si>
    <t xml:space="preserve">2023: https://report.vonovia.com/2023/q4/app/uploads/Vonovia-SE_Geschaeftsbericht-2023.pdf</t>
  </si>
  <si>
    <t xml:space="preserve">Wert inkl. aufgegebener Geschäftsbereiche</t>
  </si>
  <si>
    <t xml:space="preserve">Ab 2023 kein Group FFO mehr Prognostiziert -&gt; KPI1 fehlend</t>
  </si>
  <si>
    <t xml:space="preserve">2024: https://report.vonovia.com/2024/q4/app/uploads/Vonovia-SE_Geschaeftsbericht-2024.pdf</t>
  </si>
  <si>
    <t xml:space="preserve">Werte mit fortgeführten Geschäftsbereichen</t>
  </si>
  <si>
    <t xml:space="preserve">Alle Links zuletzt am 10.09.2026 besucht</t>
  </si>
  <si>
    <t xml:space="preserve">Auswertung Prognosegenauigkeit der damaligen DAX30 Unternehmen (Ist-Jahre 2020-2024)</t>
  </si>
  <si>
    <t xml:space="preserve">1. Ueberblick Stichprobe</t>
  </si>
  <si>
    <t xml:space="preserve">Beobachtungen gesamt</t>
  </si>
  <si>
    <t xml:space="preserve">davon Umsatz</t>
  </si>
  <si>
    <t xml:space="preserve">davon operative Ergebnisgroesse</t>
  </si>
  <si>
    <t xml:space="preserve">quantitativ (mit Fehlerwert)</t>
  </si>
  <si>
    <t xml:space="preserve">Kontrolle (quant.+qual.+fehlend+verbal o. Wert):</t>
  </si>
  <si>
    <t xml:space="preserve">verbal-quantifiziert ohne Punktwert</t>
  </si>
  <si>
    <t xml:space="preserve">Anteil nicht quantifiziert</t>
  </si>
  <si>
    <t xml:space="preserve">2. Prognoseformen</t>
  </si>
  <si>
    <t xml:space="preserve">3. Genauigkeit gesamt</t>
  </si>
  <si>
    <t xml:space="preserve">MAPE (nur absolute KPIs, EUR)</t>
  </si>
  <si>
    <t xml:space="preserve">Anzahl Beobachtungen dafuer</t>
  </si>
  <si>
    <t xml:space="preserve">Bias relativ (Mittel rel. Fehler)</t>
  </si>
  <si>
    <t xml:space="preserve">MAE in Prozentpunkten (%-KPIs)</t>
  </si>
  <si>
    <t xml:space="preserve">Trefferquote Bandbreite</t>
  </si>
  <si>
    <t xml:space="preserve">davon innerhalb</t>
  </si>
  <si>
    <t xml:space="preserve">davon oberhalb (Unterschaetzung)</t>
  </si>
  <si>
    <t xml:space="preserve">davon unterhalb (Ueberschaetzung)</t>
  </si>
  <si>
    <t xml:space="preserve">4. Nach KPI</t>
  </si>
  <si>
    <t xml:space="preserve">MAPE (absolut)</t>
  </si>
  <si>
    <t xml:space="preserve">n</t>
  </si>
  <si>
    <t xml:space="preserve">MAE PP (%-KPI)</t>
  </si>
  <si>
    <t xml:space="preserve">Trefferquote</t>
  </si>
  <si>
    <t xml:space="preserve">5. Nach Ist-Jahr</t>
  </si>
  <si>
    <t xml:space="preserve">Jahr</t>
  </si>
  <si>
    <t xml:space="preserve">Bias rel.</t>
  </si>
  <si>
    <t xml:space="preserve">6. Nach Branche</t>
  </si>
  <si>
    <t xml:space="preserve">7. Nach Unternehmen</t>
  </si>
  <si>
    <t xml:space="preserve">Firma</t>
  </si>
  <si>
    <t xml:space="preserve">qualitativ+fehlend</t>
  </si>
  <si>
    <t xml:space="preserve">Hinweis: Alle Werte sind Formeln und aktualisieren sich automatisch, wenn im Blatt 'Daten' etwas geaendert wird.</t>
  </si>
  <si>
    <t xml:space="preserve">8. Ausreisser (|rel. Fehler| &gt; 50 %) - fuer Robustheitsrechnung pruefen</t>
  </si>
  <si>
    <t xml:space="preserve">Zeile</t>
  </si>
  <si>
    <t xml:space="preserve">rel. Fehler</t>
  </si>
  <si>
    <t xml:space="preserve">Hinweis</t>
  </si>
  <si>
    <t xml:space="preserve">Vorzeichenwechsel: Prognose Verlust, Ist Gewinn -&gt; Kennzahl nicht interpretierbar</t>
  </si>
  <si>
    <t xml:space="preserve">sehr niedrige Prognosebasis</t>
  </si>
  <si>
    <t xml:space="preserve">Ergebniseinbruch Energiekrise</t>
  </si>
  <si>
    <t xml:space="preserve">Corona-Schadenbelastung</t>
  </si>
  <si>
    <t xml:space="preserve">Wertminderung Siemens-Energy-Beteiligung (-3,37 EUR je Aktie)</t>
  </si>
  <si>
    <t xml:space="preserve">MAPE ohne ADS 2023</t>
  </si>
  <si>
    <t xml:space="preserve">Thema</t>
  </si>
  <si>
    <t xml:space="preserve">Regel</t>
  </si>
  <si>
    <t xml:space="preserve">Fehler</t>
  </si>
  <si>
    <t xml:space="preserve">Fehler = Prognose_final - Ist_Wert. Positiv = Ueberschaetzung, negativ = Unterschaetzung. Einheit = Einheit der Zeile (EUR bzw. Prozentpunkte).</t>
  </si>
  <si>
    <t xml:space="preserve">Bandbreite / Punkt mit Korridor / verbal-quantifiziert -&gt; Mittelwert aus Unter- und Obergrenze; Punkt -&gt; Punktwert; qualitativ und fehlend -&gt; leer.</t>
  </si>
  <si>
    <t xml:space="preserve">Rel_Fehler / APE</t>
  </si>
  <si>
    <t xml:space="preserve">Nur fuer Angabetyp 'absolut' (EUR). Bei Margen und Wachstumsraten ist ein relativer Fehler nicht sinnvoll interpretierbar (Nulldurchgang, Vorzeichenwechsel); diese Beobachtungen werden ueber die Abweichung in Prozentpunkten ausgewertet.</t>
  </si>
  <si>
    <t xml:space="preserve">Zwei Teilstichproben</t>
  </si>
  <si>
    <t xml:space="preserve">Auswertung getrennt: (1) absolute KPIs in EUR -&gt; MAPE; (2) Margen-/Wachstumsraten-KPIs -&gt; mittlere absolute Abweichung in Prozentpunkten. Beide Kennzahlen sind nicht ineinander umrechenbar und werden getrennt ausgewiesen.</t>
  </si>
  <si>
    <t xml:space="preserve">innerhalb / oberhalb / unterhalb der Prognosebandbreite; 'Punktprognose' und 'nicht auswertbar' bleiben ausserhalb der Trefferquote. Bei Punktprognosen ist eine punktgenaue Uebereinstimmung praktisch ausgeschlossen.</t>
  </si>
  <si>
    <t xml:space="preserve">Punkt | Bandbreite | Punkt mit Korridor ('X +/- y') | verbal-quantifiziert (Wortlaut in Zahlen uebersetzt) | qualitativ (nur Richtungsaussage, kein Fehlerwert) | fehlend (kein Prognosewert im GB) | zurueckgezogen.</t>
  </si>
  <si>
    <t xml:space="preserve">Konvention verbale Angaben</t>
  </si>
  <si>
    <t xml:space="preserve">niedrig einstellig = 1-3 %, mittel einstellig = 4-6 %, hoch einstellig = 7-9 %, niedrig bis mittel = 1-6 %, mittel bis hoch = 4-9 %. Diese Uebersetzung ist eine methodische Setzung und in Kap. 3.2 offenzulegen.</t>
  </si>
  <si>
    <t xml:space="preserve">Konvention 'auf Vorjahresniveau'</t>
  </si>
  <si>
    <t xml:space="preserve">Bei qualitativen Prognosen mit Richtung 'stabil' gilt eine Ist-Abweichung bis +/- 3 % als Richtung getroffen.</t>
  </si>
  <si>
    <t xml:space="preserve">Originalformulierung aus dem Geschaeftsbericht. Die Spalten Prog_Untergrenze/-Obergrenze enthalten ausschliesslich Zahlen.</t>
  </si>
  <si>
    <t xml:space="preserve">Qualitative Zeilen</t>
  </si>
  <si>
    <t xml:space="preserve">Kein Fehlerwert. Basiswert und Ist dienen nur der Richtungspruefung; das Urteil steht in 'Rahmensprengung'.</t>
  </si>
  <si>
    <t xml:space="preserve">Einheiten</t>
  </si>
  <si>
    <t xml:space="preserve">Innerhalb einer Firma und eines KPI durchgaengig dieselbe Einheit. Prozentangaben als Dezimalwert (0,08 = 8 %) mit Prozentformat.</t>
  </si>
  <si>
    <t xml:space="preserve">Stichprobe</t>
  </si>
  <si>
    <t xml:space="preserve">DAX30 zum 01.01.2020 (Stand nach Indexanpassung 09/2019); ausgeschlossen: Wirecard (Insolvenz) und Linde plc (keine DRS-20-Prognoseberichtspflicht) -&gt; 28 Unternehmen, Ist-Jahre 2020-2024.</t>
  </si>
</sst>
</file>

<file path=xl/styles.xml><?xml version="1.0" encoding="utf-8"?>
<styleSheet xmlns="http://schemas.openxmlformats.org/spreadsheetml/2006/main">
  <numFmts count="8">
    <numFmt numFmtId="164" formatCode="General"/>
    <numFmt numFmtId="165" formatCode="0.00%"/>
    <numFmt numFmtId="166" formatCode="0.0%"/>
    <numFmt numFmtId="167" formatCode="#,##0.00"/>
    <numFmt numFmtId="168" formatCode="0"/>
    <numFmt numFmtId="169" formatCode="0.00"/>
    <numFmt numFmtId="170" formatCode="[h]:mm:ss"/>
    <numFmt numFmtId="171" formatCode="General"/>
  </numFmts>
  <fonts count="15">
    <font>
      <sz val="11"/>
      <color theme="1"/>
      <name val="Calibri"/>
      <family val="2"/>
      <charset val="1"/>
    </font>
    <font>
      <sz val="10"/>
      <name val="Arial"/>
      <family val="0"/>
    </font>
    <font>
      <sz val="10"/>
      <name val="Arial"/>
      <family val="0"/>
    </font>
    <font>
      <sz val="10"/>
      <name val="Arial"/>
      <family val="0"/>
    </font>
    <font>
      <b val="true"/>
      <sz val="10"/>
      <color rgb="FFFFFFFF"/>
      <name val="Arial"/>
      <family val="2"/>
      <charset val="1"/>
    </font>
    <font>
      <sz val="10"/>
      <name val="Arial"/>
      <family val="2"/>
      <charset val="1"/>
    </font>
    <font>
      <i val="true"/>
      <sz val="9"/>
      <name val="Arial"/>
      <family val="2"/>
      <charset val="1"/>
    </font>
    <font>
      <sz val="10"/>
      <color rgb="FF0000FF"/>
      <name val="Arial"/>
      <family val="2"/>
      <charset val="1"/>
    </font>
    <font>
      <sz val="11"/>
      <color rgb="FF006100"/>
      <name val="Aptos"/>
      <family val="2"/>
      <charset val="1"/>
    </font>
    <font>
      <sz val="11"/>
      <color rgb="FF9C5700"/>
      <name val="Aptos"/>
      <family val="2"/>
      <charset val="1"/>
    </font>
    <font>
      <i val="true"/>
      <sz val="10"/>
      <name val="Arial"/>
      <family val="2"/>
      <charset val="1"/>
    </font>
    <font>
      <b val="true"/>
      <sz val="14"/>
      <name val="Arial"/>
      <family val="2"/>
      <charset val="1"/>
    </font>
    <font>
      <b val="true"/>
      <sz val="11"/>
      <color rgb="FFFFFFFF"/>
      <name val="Arial"/>
      <family val="2"/>
      <charset val="1"/>
    </font>
    <font>
      <b val="true"/>
      <sz val="10"/>
      <name val="Arial"/>
      <family val="2"/>
      <charset val="1"/>
    </font>
    <font>
      <b val="true"/>
      <sz val="11"/>
      <name val="Arial"/>
      <family val="2"/>
      <charset val="1"/>
    </font>
  </fonts>
  <fills count="9">
    <fill>
      <patternFill patternType="none"/>
    </fill>
    <fill>
      <patternFill patternType="gray125"/>
    </fill>
    <fill>
      <patternFill patternType="solid">
        <fgColor rgb="FF1F3864"/>
        <bgColor rgb="FF333399"/>
      </patternFill>
    </fill>
    <fill>
      <patternFill patternType="solid">
        <fgColor rgb="FFFFF2CC"/>
        <bgColor rgb="FFFFEB9C"/>
      </patternFill>
    </fill>
    <fill>
      <patternFill patternType="solid">
        <fgColor theme="0" tint="-0.35"/>
        <bgColor rgb="FFAFABAB"/>
      </patternFill>
    </fill>
    <fill>
      <patternFill patternType="solid">
        <fgColor rgb="FF375623"/>
        <bgColor rgb="FF333300"/>
      </patternFill>
    </fill>
    <fill>
      <patternFill patternType="solid">
        <fgColor rgb="FFC6EFCE"/>
        <bgColor rgb="FFCCFFFF"/>
      </patternFill>
    </fill>
    <fill>
      <patternFill patternType="solid">
        <fgColor rgb="FFFFEB9C"/>
        <bgColor rgb="FFFFF2CC"/>
      </patternFill>
    </fill>
    <fill>
      <patternFill patternType="solid">
        <fgColor theme="2" tint="-0.25"/>
        <bgColor rgb="FFA6A6A6"/>
      </patternFill>
    </fill>
  </fills>
  <borders count="5">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bottom/>
      <diagonal/>
    </border>
    <border diagonalUp="false" diagonalDown="false">
      <left style="thin">
        <color rgb="FFBFBFBF"/>
      </left>
      <right/>
      <top style="thin">
        <color rgb="FFBFBFBF"/>
      </top>
      <bottom style="thin">
        <color rgb="FFBFBFBF"/>
      </bottom>
      <diagonal/>
    </border>
    <border diagonalUp="false" diagonalDown="false">
      <left/>
      <right style="thin">
        <color rgb="FFBFBFBF"/>
      </right>
      <top style="thin">
        <color rgb="FFBFBFBF"/>
      </top>
      <bottom style="thin">
        <color rgb="FFBFBFB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4" fillId="5" borderId="0" xfId="0" applyFont="true" applyBorder="false" applyAlignment="true" applyProtection="false">
      <alignment horizontal="general" vertical="center" textRotation="0" wrapText="true" indent="0" shrinkToFit="false"/>
      <protection locked="true" hidden="false"/>
    </xf>
    <xf numFmtId="165" fontId="4" fillId="5"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5" fontId="8" fillId="6" borderId="1" xfId="0" applyFont="true" applyBorder="true" applyAlignment="false" applyProtection="false">
      <alignment horizontal="general" vertical="bottom" textRotation="0" wrapText="false" indent="0" shrinkToFit="false"/>
      <protection locked="true" hidden="false"/>
    </xf>
    <xf numFmtId="165" fontId="9" fillId="7"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general" vertical="bottom" textRotation="0" wrapText="tru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9" fontId="7" fillId="3" borderId="1" xfId="0" applyFont="true" applyBorder="true" applyAlignment="false" applyProtection="false">
      <alignment horizontal="general" vertical="bottom" textRotation="0" wrapText="false" indent="0" shrinkToFit="false"/>
      <protection locked="true" hidden="false"/>
    </xf>
    <xf numFmtId="167" fontId="8" fillId="6" borderId="1" xfId="0" applyFont="true" applyBorder="true" applyAlignment="false" applyProtection="false">
      <alignment horizontal="general" vertical="bottom" textRotation="0" wrapText="false" indent="0" shrinkToFit="false"/>
      <protection locked="true" hidden="false"/>
    </xf>
    <xf numFmtId="167" fontId="9" fillId="7" borderId="1" xfId="0" applyFont="true" applyBorder="tru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7" fontId="7" fillId="4" borderId="1" xfId="0" applyFont="true" applyBorder="true" applyAlignment="true" applyProtection="false">
      <alignment horizontal="center" vertical="bottom" textRotation="0" wrapText="false" indent="0" shrinkToFit="false"/>
      <protection locked="true" hidden="false"/>
    </xf>
    <xf numFmtId="167" fontId="7" fillId="4" borderId="3" xfId="0" applyFont="true" applyBorder="true" applyAlignment="true" applyProtection="false">
      <alignment horizontal="center" vertical="bottom" textRotation="0" wrapText="false" indent="0" shrinkToFit="false"/>
      <protection locked="true" hidden="false"/>
    </xf>
    <xf numFmtId="167" fontId="7" fillId="4" borderId="4" xfId="0" applyFont="true" applyBorder="true" applyAlignment="true" applyProtection="false">
      <alignment horizontal="center" vertical="bottom" textRotation="0" wrapText="false" indent="0" shrinkToFit="false"/>
      <protection locked="true" hidden="false"/>
    </xf>
    <xf numFmtId="167" fontId="7" fillId="3" borderId="1" xfId="0" applyFont="true" applyBorder="true" applyAlignment="true" applyProtection="false">
      <alignment horizontal="right" vertical="bottom" textRotation="0" wrapText="false" indent="0" shrinkToFit="false"/>
      <protection locked="true" hidden="false"/>
    </xf>
    <xf numFmtId="170" fontId="7" fillId="3" borderId="1" xfId="0" applyFont="true" applyBorder="true" applyAlignment="false" applyProtection="false">
      <alignment horizontal="general" vertical="bottom" textRotation="0" wrapText="false" indent="0" shrinkToFit="false"/>
      <protection locked="true" hidden="false"/>
    </xf>
    <xf numFmtId="169" fontId="7" fillId="4"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7" fontId="7" fillId="8" borderId="1" xfId="0" applyFont="true" applyBorder="true" applyAlignment="false" applyProtection="false">
      <alignment horizontal="general" vertical="bottom" textRotation="0" wrapText="false" indent="0" shrinkToFit="false"/>
      <protection locked="true" hidden="false"/>
    </xf>
    <xf numFmtId="170" fontId="7" fillId="8"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12">
    <dxf>
      <fill>
        <patternFill patternType="solid">
          <fgColor rgb="FF1F3864"/>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A6A6A6"/>
          <bgColor rgb="FF000000"/>
        </patternFill>
      </fill>
    </dxf>
    <dxf>
      <fill>
        <patternFill patternType="solid">
          <fgColor rgb="FF000000"/>
          <bgColor rgb="FF000000"/>
        </patternFill>
      </fill>
    </dxf>
    <dxf>
      <fill>
        <patternFill patternType="solid">
          <fgColor rgb="FFAFABAB"/>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5700"/>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AFABAB"/>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A6A6A6"/>
      <rgbColor rgb="FF1F3864"/>
      <rgbColor rgb="FF339966"/>
      <rgbColor rgb="FF003300"/>
      <rgbColor rgb="FF333300"/>
      <rgbColor rgb="FF9C57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1" topLeftCell="A2" activePane="bottomLeft" state="frozen"/>
      <selection pane="topLeft" activeCell="A1" activeCellId="0" sqref="A1"/>
      <selection pane="bottomLeft" activeCell="A33" activeCellId="0" sqref="A33"/>
    </sheetView>
  </sheetViews>
  <sheetFormatPr defaultColWidth="8.6328125" defaultRowHeight="14.2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0.73"/>
    <col collapsed="false" customWidth="true" hidden="false" outlineLevel="0" max="4" min="4" style="0" width="22"/>
    <col collapsed="false" customWidth="true" hidden="false" outlineLevel="0" max="5" min="5" style="0" width="34.09"/>
    <col collapsed="false" customWidth="true" hidden="false" outlineLevel="0" max="6" min="6" style="0" width="44.63"/>
    <col collapsed="false" customWidth="true" hidden="false" outlineLevel="0" max="7" min="7" style="0" width="115.82"/>
  </cols>
  <sheetData>
    <row r="1" customFormat="false" ht="25.5" hidden="false" customHeight="true" outlineLevel="0" collapsed="false">
      <c r="A1" s="1" t="s">
        <v>0</v>
      </c>
      <c r="B1" s="1" t="s">
        <v>1</v>
      </c>
      <c r="C1" s="1" t="s">
        <v>2</v>
      </c>
      <c r="D1" s="1" t="s">
        <v>3</v>
      </c>
      <c r="E1" s="1" t="s">
        <v>4</v>
      </c>
      <c r="F1" s="1" t="s">
        <v>5</v>
      </c>
      <c r="G1" s="1" t="s">
        <v>6</v>
      </c>
    </row>
    <row r="2" customFormat="false" ht="15" hidden="false" customHeight="true" outlineLevel="0" collapsed="false">
      <c r="A2" s="2" t="s">
        <v>7</v>
      </c>
      <c r="B2" s="2" t="s">
        <v>8</v>
      </c>
      <c r="C2" s="2" t="n">
        <v>0</v>
      </c>
      <c r="D2" s="3" t="s">
        <v>9</v>
      </c>
      <c r="E2" s="3" t="s">
        <v>10</v>
      </c>
      <c r="F2" s="3" t="s">
        <v>11</v>
      </c>
      <c r="G2" s="3"/>
    </row>
    <row r="3" customFormat="false" ht="15" hidden="false" customHeight="true" outlineLevel="0" collapsed="false">
      <c r="A3" s="2" t="s">
        <v>12</v>
      </c>
      <c r="B3" s="2" t="s">
        <v>13</v>
      </c>
      <c r="C3" s="2" t="n">
        <v>1</v>
      </c>
      <c r="D3" s="3" t="s">
        <v>14</v>
      </c>
      <c r="E3" s="3" t="s">
        <v>15</v>
      </c>
      <c r="F3" s="3" t="s">
        <v>16</v>
      </c>
      <c r="G3" s="3" t="s">
        <v>17</v>
      </c>
    </row>
    <row r="4" customFormat="false" ht="15" hidden="false" customHeight="true" outlineLevel="0" collapsed="false">
      <c r="A4" s="2" t="s">
        <v>18</v>
      </c>
      <c r="B4" s="2" t="s">
        <v>19</v>
      </c>
      <c r="C4" s="2" t="n">
        <v>0</v>
      </c>
      <c r="D4" s="3" t="s">
        <v>20</v>
      </c>
      <c r="E4" s="3" t="s">
        <v>10</v>
      </c>
      <c r="F4" s="3" t="s">
        <v>21</v>
      </c>
      <c r="G4" s="3"/>
    </row>
    <row r="5" customFormat="false" ht="15" hidden="false" customHeight="true" outlineLevel="0" collapsed="false">
      <c r="A5" s="2" t="s">
        <v>22</v>
      </c>
      <c r="B5" s="2" t="s">
        <v>23</v>
      </c>
      <c r="C5" s="2" t="n">
        <v>0</v>
      </c>
      <c r="D5" s="3" t="s">
        <v>24</v>
      </c>
      <c r="E5" s="3" t="s">
        <v>25</v>
      </c>
      <c r="F5" s="3" t="s">
        <v>26</v>
      </c>
      <c r="G5" s="3"/>
    </row>
    <row r="6" customFormat="false" ht="15" hidden="false" customHeight="true" outlineLevel="0" collapsed="false">
      <c r="A6" s="2" t="s">
        <v>27</v>
      </c>
      <c r="B6" s="2" t="s">
        <v>28</v>
      </c>
      <c r="C6" s="2" t="n">
        <v>0</v>
      </c>
      <c r="D6" s="3" t="s">
        <v>9</v>
      </c>
      <c r="E6" s="3" t="s">
        <v>29</v>
      </c>
      <c r="F6" s="3" t="s">
        <v>30</v>
      </c>
      <c r="G6" s="3" t="s">
        <v>31</v>
      </c>
    </row>
    <row r="7" customFormat="false" ht="37.5" hidden="false" customHeight="true" outlineLevel="0" collapsed="false">
      <c r="A7" s="4" t="s">
        <v>32</v>
      </c>
      <c r="B7" s="4" t="s">
        <v>33</v>
      </c>
      <c r="C7" s="4" t="n">
        <v>0</v>
      </c>
      <c r="D7" s="5" t="s">
        <v>34</v>
      </c>
      <c r="E7" s="5" t="s">
        <v>35</v>
      </c>
      <c r="F7" s="5" t="s">
        <v>36</v>
      </c>
      <c r="G7" s="6" t="s">
        <v>37</v>
      </c>
    </row>
    <row r="8" customFormat="false" ht="15" hidden="false" customHeight="true" outlineLevel="0" collapsed="false">
      <c r="A8" s="2" t="s">
        <v>38</v>
      </c>
      <c r="B8" s="2" t="s">
        <v>39</v>
      </c>
      <c r="C8" s="2" t="n">
        <v>0</v>
      </c>
      <c r="D8" s="3" t="s">
        <v>34</v>
      </c>
      <c r="E8" s="3" t="s">
        <v>15</v>
      </c>
      <c r="F8" s="5" t="s">
        <v>36</v>
      </c>
      <c r="G8" s="3"/>
    </row>
    <row r="9" customFormat="false" ht="15" hidden="false" customHeight="true" outlineLevel="0" collapsed="false">
      <c r="A9" s="2" t="s">
        <v>40</v>
      </c>
      <c r="B9" s="2" t="s">
        <v>41</v>
      </c>
      <c r="C9" s="2" t="n">
        <v>0</v>
      </c>
      <c r="D9" s="3" t="s">
        <v>20</v>
      </c>
      <c r="E9" s="3" t="s">
        <v>35</v>
      </c>
      <c r="F9" s="3" t="s">
        <v>26</v>
      </c>
      <c r="G9" s="3" t="s">
        <v>42</v>
      </c>
    </row>
    <row r="10" customFormat="false" ht="15" hidden="false" customHeight="true" outlineLevel="0" collapsed="false">
      <c r="A10" s="2" t="s">
        <v>43</v>
      </c>
      <c r="B10" s="2" t="s">
        <v>44</v>
      </c>
      <c r="C10" s="2" t="n">
        <v>0</v>
      </c>
      <c r="D10" s="3" t="s">
        <v>34</v>
      </c>
      <c r="E10" s="3" t="s">
        <v>15</v>
      </c>
      <c r="F10" s="3" t="s">
        <v>45</v>
      </c>
      <c r="G10" s="3" t="s">
        <v>46</v>
      </c>
    </row>
    <row r="11" customFormat="false" ht="14.25" hidden="false" customHeight="true" outlineLevel="0" collapsed="false">
      <c r="A11" s="4" t="s">
        <v>47</v>
      </c>
      <c r="B11" s="4" t="s">
        <v>48</v>
      </c>
      <c r="C11" s="4" t="n">
        <v>1</v>
      </c>
      <c r="D11" s="5" t="s">
        <v>49</v>
      </c>
      <c r="E11" s="5" t="s">
        <v>50</v>
      </c>
      <c r="F11" s="5" t="s">
        <v>51</v>
      </c>
      <c r="G11" s="3" t="s">
        <v>52</v>
      </c>
    </row>
    <row r="12" customFormat="false" ht="15" hidden="false" customHeight="true" outlineLevel="0" collapsed="false">
      <c r="A12" s="2" t="s">
        <v>53</v>
      </c>
      <c r="B12" s="2" t="s">
        <v>54</v>
      </c>
      <c r="C12" s="2" t="n">
        <v>1</v>
      </c>
      <c r="D12" s="3" t="s">
        <v>55</v>
      </c>
      <c r="E12" s="3" t="s">
        <v>56</v>
      </c>
      <c r="F12" s="3" t="s">
        <v>26</v>
      </c>
      <c r="G12" s="3"/>
    </row>
    <row r="13" customFormat="false" ht="15" hidden="false" customHeight="true" outlineLevel="0" collapsed="false">
      <c r="A13" s="2" t="s">
        <v>57</v>
      </c>
      <c r="B13" s="2" t="s">
        <v>58</v>
      </c>
      <c r="C13" s="2" t="n">
        <v>0</v>
      </c>
      <c r="D13" s="3" t="s">
        <v>59</v>
      </c>
      <c r="E13" s="3" t="s">
        <v>35</v>
      </c>
      <c r="F13" s="3" t="s">
        <v>60</v>
      </c>
      <c r="G13" s="3" t="s">
        <v>61</v>
      </c>
    </row>
    <row r="14" customFormat="false" ht="15" hidden="false" customHeight="true" outlineLevel="0" collapsed="false">
      <c r="A14" s="2" t="s">
        <v>62</v>
      </c>
      <c r="B14" s="2" t="s">
        <v>63</v>
      </c>
      <c r="C14" s="2" t="n">
        <v>0</v>
      </c>
      <c r="D14" s="3" t="s">
        <v>64</v>
      </c>
      <c r="E14" s="3" t="s">
        <v>15</v>
      </c>
      <c r="F14" s="3" t="s">
        <v>65</v>
      </c>
      <c r="G14" s="3"/>
    </row>
    <row r="15" customFormat="false" ht="24.75" hidden="false" customHeight="true" outlineLevel="0" collapsed="false">
      <c r="A15" s="4" t="s">
        <v>66</v>
      </c>
      <c r="B15" s="4" t="s">
        <v>67</v>
      </c>
      <c r="C15" s="4" t="n">
        <v>0</v>
      </c>
      <c r="D15" s="5" t="s">
        <v>68</v>
      </c>
      <c r="E15" s="5" t="s">
        <v>35</v>
      </c>
      <c r="F15" s="5" t="s">
        <v>69</v>
      </c>
      <c r="G15" s="3" t="s">
        <v>70</v>
      </c>
    </row>
    <row r="16" customFormat="false" ht="15" hidden="false" customHeight="true" outlineLevel="0" collapsed="false">
      <c r="A16" s="2" t="s">
        <v>71</v>
      </c>
      <c r="B16" s="2" t="s">
        <v>72</v>
      </c>
      <c r="C16" s="2" t="n">
        <v>0</v>
      </c>
      <c r="D16" s="3" t="s">
        <v>24</v>
      </c>
      <c r="E16" s="3" t="s">
        <v>15</v>
      </c>
      <c r="F16" s="3" t="s">
        <v>73</v>
      </c>
      <c r="G16" s="3" t="s">
        <v>74</v>
      </c>
    </row>
    <row r="17" customFormat="false" ht="15" hidden="false" customHeight="true" outlineLevel="0" collapsed="false">
      <c r="A17" s="2" t="s">
        <v>75</v>
      </c>
      <c r="B17" s="2" t="s">
        <v>76</v>
      </c>
      <c r="C17" s="2" t="n">
        <v>0</v>
      </c>
      <c r="D17" s="3" t="s">
        <v>24</v>
      </c>
      <c r="E17" s="3" t="s">
        <v>25</v>
      </c>
      <c r="F17" s="3" t="s">
        <v>16</v>
      </c>
      <c r="G17" s="3"/>
    </row>
    <row r="18" customFormat="false" ht="15" hidden="false" customHeight="true" outlineLevel="0" collapsed="false">
      <c r="A18" s="2" t="s">
        <v>77</v>
      </c>
      <c r="B18" s="2" t="s">
        <v>78</v>
      </c>
      <c r="C18" s="2" t="n">
        <v>0</v>
      </c>
      <c r="D18" s="3" t="s">
        <v>79</v>
      </c>
      <c r="E18" s="3" t="s">
        <v>15</v>
      </c>
      <c r="F18" s="3" t="s">
        <v>80</v>
      </c>
      <c r="G18" s="3"/>
    </row>
    <row r="19" customFormat="false" ht="15" hidden="false" customHeight="true" outlineLevel="0" collapsed="false">
      <c r="A19" s="2" t="s">
        <v>81</v>
      </c>
      <c r="B19" s="2" t="s">
        <v>82</v>
      </c>
      <c r="C19" s="2" t="n">
        <v>0</v>
      </c>
      <c r="D19" s="3" t="s">
        <v>9</v>
      </c>
      <c r="E19" s="3" t="s">
        <v>83</v>
      </c>
      <c r="F19" s="5" t="s">
        <v>84</v>
      </c>
      <c r="G19" s="3"/>
    </row>
    <row r="20" customFormat="false" ht="14.25" hidden="false" customHeight="true" outlineLevel="0" collapsed="false">
      <c r="A20" s="2" t="s">
        <v>85</v>
      </c>
      <c r="B20" s="2" t="s">
        <v>86</v>
      </c>
      <c r="C20" s="2" t="n">
        <v>0</v>
      </c>
      <c r="D20" s="3" t="s">
        <v>87</v>
      </c>
      <c r="E20" s="3" t="s">
        <v>10</v>
      </c>
      <c r="F20" s="3" t="s">
        <v>88</v>
      </c>
      <c r="G20" s="3"/>
    </row>
    <row r="21" customFormat="false" ht="15" hidden="false" customHeight="true" outlineLevel="0" collapsed="false">
      <c r="A21" s="7"/>
      <c r="B21" s="2" t="s">
        <v>89</v>
      </c>
      <c r="C21" s="7"/>
      <c r="D21" s="3" t="s">
        <v>20</v>
      </c>
      <c r="E21" s="8" t="s">
        <v>90</v>
      </c>
      <c r="F21" s="8"/>
      <c r="G21" s="8"/>
    </row>
    <row r="22" customFormat="false" ht="15" hidden="false" customHeight="true" outlineLevel="0" collapsed="false">
      <c r="A22" s="2" t="s">
        <v>91</v>
      </c>
      <c r="B22" s="2" t="s">
        <v>92</v>
      </c>
      <c r="C22" s="2" t="n">
        <v>0</v>
      </c>
      <c r="D22" s="3" t="s">
        <v>59</v>
      </c>
      <c r="E22" s="3"/>
      <c r="F22" s="3" t="s">
        <v>93</v>
      </c>
      <c r="G22" s="3"/>
    </row>
    <row r="23" customFormat="false" ht="15" hidden="false" customHeight="true" outlineLevel="0" collapsed="false">
      <c r="A23" s="2" t="s">
        <v>94</v>
      </c>
      <c r="B23" s="2" t="s">
        <v>95</v>
      </c>
      <c r="C23" s="2" t="n">
        <v>0</v>
      </c>
      <c r="D23" s="3" t="s">
        <v>24</v>
      </c>
      <c r="E23" s="3" t="s">
        <v>25</v>
      </c>
      <c r="F23" s="3" t="s">
        <v>96</v>
      </c>
      <c r="G23" s="3"/>
    </row>
    <row r="24" customFormat="false" ht="15" hidden="false" customHeight="true" outlineLevel="0" collapsed="false">
      <c r="A24" s="2" t="s">
        <v>97</v>
      </c>
      <c r="B24" s="2" t="s">
        <v>98</v>
      </c>
      <c r="C24" s="2" t="n">
        <v>0</v>
      </c>
      <c r="D24" s="3" t="s">
        <v>99</v>
      </c>
      <c r="E24" s="3" t="s">
        <v>100</v>
      </c>
      <c r="F24" s="3" t="s">
        <v>101</v>
      </c>
      <c r="G24" s="3"/>
    </row>
    <row r="25" customFormat="false" ht="23.25" hidden="false" customHeight="true" outlineLevel="0" collapsed="false">
      <c r="A25" s="2" t="s">
        <v>102</v>
      </c>
      <c r="B25" s="2" t="s">
        <v>103</v>
      </c>
      <c r="C25" s="2" t="n">
        <v>1</v>
      </c>
      <c r="D25" s="3" t="s">
        <v>14</v>
      </c>
      <c r="E25" s="3" t="s">
        <v>35</v>
      </c>
      <c r="F25" s="3" t="s">
        <v>104</v>
      </c>
      <c r="G25" s="3" t="s">
        <v>105</v>
      </c>
    </row>
    <row r="26" customFormat="false" ht="15" hidden="false" customHeight="true" outlineLevel="0" collapsed="false">
      <c r="A26" s="2" t="s">
        <v>106</v>
      </c>
      <c r="B26" s="2" t="s">
        <v>107</v>
      </c>
      <c r="C26" s="2" t="n">
        <v>0</v>
      </c>
      <c r="D26" s="3" t="s">
        <v>68</v>
      </c>
      <c r="E26" s="3" t="s">
        <v>35</v>
      </c>
      <c r="F26" s="3" t="s">
        <v>108</v>
      </c>
      <c r="G26" s="3" t="s">
        <v>105</v>
      </c>
    </row>
    <row r="27" customFormat="false" ht="15" hidden="false" customHeight="true" outlineLevel="0" collapsed="false">
      <c r="A27" s="2" t="s">
        <v>109</v>
      </c>
      <c r="B27" s="2" t="s">
        <v>110</v>
      </c>
      <c r="C27" s="2" t="n">
        <v>0</v>
      </c>
      <c r="D27" s="3" t="s">
        <v>87</v>
      </c>
      <c r="E27" s="3" t="s">
        <v>111</v>
      </c>
      <c r="F27" s="3" t="s">
        <v>112</v>
      </c>
      <c r="G27" s="3" t="s">
        <v>113</v>
      </c>
    </row>
    <row r="28" customFormat="false" ht="37.5" hidden="false" customHeight="true" outlineLevel="0" collapsed="false">
      <c r="A28" s="4" t="s">
        <v>114</v>
      </c>
      <c r="B28" s="4" t="s">
        <v>115</v>
      </c>
      <c r="C28" s="4" t="n">
        <v>0</v>
      </c>
      <c r="D28" s="5" t="s">
        <v>99</v>
      </c>
      <c r="E28" s="5" t="s">
        <v>25</v>
      </c>
      <c r="F28" s="5" t="s">
        <v>116</v>
      </c>
      <c r="G28" s="3" t="s">
        <v>117</v>
      </c>
    </row>
    <row r="29" customFormat="false" ht="15" hidden="false" customHeight="true" outlineLevel="0" collapsed="false">
      <c r="A29" s="2" t="s">
        <v>118</v>
      </c>
      <c r="B29" s="2" t="s">
        <v>119</v>
      </c>
      <c r="C29" s="2" t="n">
        <v>0</v>
      </c>
      <c r="D29" s="3" t="s">
        <v>34</v>
      </c>
      <c r="E29" s="3" t="s">
        <v>25</v>
      </c>
      <c r="F29" s="3" t="s">
        <v>120</v>
      </c>
      <c r="G29" s="3"/>
    </row>
    <row r="30" customFormat="false" ht="24.75" hidden="false" customHeight="true" outlineLevel="0" collapsed="false">
      <c r="A30" s="4" t="s">
        <v>121</v>
      </c>
      <c r="B30" s="4" t="s">
        <v>122</v>
      </c>
      <c r="C30" s="4" t="n">
        <v>0</v>
      </c>
      <c r="D30" s="5" t="s">
        <v>123</v>
      </c>
      <c r="E30" s="5" t="s">
        <v>124</v>
      </c>
      <c r="F30" s="5" t="s">
        <v>108</v>
      </c>
      <c r="G30" s="5" t="s">
        <v>125</v>
      </c>
    </row>
    <row r="31" customFormat="false" ht="14.25" hidden="false" customHeight="true" outlineLevel="0" collapsed="false">
      <c r="A31" s="7"/>
      <c r="B31" s="4" t="s">
        <v>126</v>
      </c>
      <c r="C31" s="7"/>
      <c r="D31" s="3" t="s">
        <v>87</v>
      </c>
      <c r="E31" s="8" t="s">
        <v>90</v>
      </c>
      <c r="F31" s="8"/>
      <c r="G31" s="8"/>
    </row>
    <row r="33" customFormat="false" ht="15" hidden="false" customHeight="true" outlineLevel="0" collapsed="false">
      <c r="A33" s="9" t="s">
        <v>127</v>
      </c>
      <c r="B33" s="9"/>
      <c r="C33" s="9"/>
      <c r="D33" s="9"/>
      <c r="E33" s="9"/>
      <c r="F33" s="9"/>
      <c r="G33" s="9"/>
    </row>
    <row r="34" customFormat="false" ht="15" hidden="false" customHeight="true" outlineLevel="0" collapsed="false">
      <c r="A34" s="9"/>
      <c r="B34" s="9"/>
      <c r="C34" s="9"/>
      <c r="D34" s="9"/>
      <c r="E34" s="9"/>
      <c r="F34" s="9"/>
      <c r="G34" s="9"/>
    </row>
    <row r="35" customFormat="false" ht="14.25" hidden="false" customHeight="true" outlineLevel="0" collapsed="false">
      <c r="A35" s="9"/>
      <c r="B35" s="9"/>
      <c r="C35" s="9"/>
      <c r="D35" s="9"/>
      <c r="E35" s="9"/>
      <c r="F35" s="9"/>
      <c r="G35" s="9"/>
    </row>
  </sheetData>
  <mergeCells count="3">
    <mergeCell ref="E21:G21"/>
    <mergeCell ref="E31:G31"/>
    <mergeCell ref="A33:G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283"/>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0" ySplit="1" topLeftCell="A2" activePane="bottomLeft" state="frozen"/>
      <selection pane="topLeft" activeCell="A1" activeCellId="0" sqref="A1"/>
      <selection pane="bottomLeft" activeCell="D292" activeCellId="0" sqref="D292"/>
    </sheetView>
  </sheetViews>
  <sheetFormatPr defaultColWidth="34.00390625" defaultRowHeight="14.2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26"/>
    <col collapsed="false" customWidth="true" hidden="false" outlineLevel="0" max="4" min="4" style="0" width="12"/>
    <col collapsed="false" customWidth="true" hidden="false" outlineLevel="0" max="5" min="5" style="0" width="20.09"/>
    <col collapsed="false" customWidth="true" hidden="false" outlineLevel="0" max="6" min="6" style="0" width="20"/>
    <col collapsed="false" customWidth="true" hidden="false" outlineLevel="0" max="7" min="7" style="0" width="16"/>
    <col collapsed="false" customWidth="true" hidden="false" outlineLevel="0" max="8" min="8" style="0" width="24.36"/>
    <col collapsed="false" customWidth="true" hidden="false" outlineLevel="0" max="9" min="9" style="0" width="13"/>
    <col collapsed="false" customWidth="true" hidden="false" outlineLevel="0" max="10" min="10" style="0" width="13.82"/>
    <col collapsed="false" customWidth="true" hidden="false" outlineLevel="0" max="11" min="11" style="0" width="18.27"/>
    <col collapsed="false" customWidth="true" hidden="false" outlineLevel="0" max="13" min="12" style="0" width="14"/>
    <col collapsed="false" customWidth="true" hidden="false" outlineLevel="0" max="14" min="14" style="0" width="55.45"/>
    <col collapsed="false" customWidth="true" hidden="false" outlineLevel="0" max="15" min="15" style="0" width="13.27"/>
    <col collapsed="false" customWidth="true" hidden="false" outlineLevel="0" max="16" min="16" style="0" width="21.09"/>
    <col collapsed="false" customWidth="true" hidden="false" outlineLevel="0" max="17" min="17" style="10" width="116.09"/>
    <col collapsed="false" customWidth="true" hidden="false" outlineLevel="0" max="19" min="18" style="0" width="15.36"/>
    <col collapsed="false" customWidth="true" hidden="false" outlineLevel="0" max="20" min="20" style="11" width="15.36"/>
    <col collapsed="false" customWidth="true" hidden="false" outlineLevel="0" max="21" min="21" style="0" width="22.27"/>
    <col collapsed="false" customWidth="true" hidden="false" outlineLevel="0" max="22" min="22" style="0" width="25"/>
  </cols>
  <sheetData>
    <row r="1" customFormat="false" ht="39.75" hidden="false" customHeight="true" outlineLevel="0" collapsed="false">
      <c r="A1" s="12" t="s">
        <v>0</v>
      </c>
      <c r="B1" s="12" t="s">
        <v>128</v>
      </c>
      <c r="C1" s="12" t="s">
        <v>129</v>
      </c>
      <c r="D1" s="12" t="s">
        <v>130</v>
      </c>
      <c r="E1" s="12" t="s">
        <v>131</v>
      </c>
      <c r="F1" s="12" t="s">
        <v>132</v>
      </c>
      <c r="G1" s="12" t="s">
        <v>133</v>
      </c>
      <c r="H1" s="12" t="s">
        <v>134</v>
      </c>
      <c r="I1" s="12" t="s">
        <v>135</v>
      </c>
      <c r="J1" s="12" t="s">
        <v>136</v>
      </c>
      <c r="K1" s="12" t="s">
        <v>137</v>
      </c>
      <c r="L1" s="12" t="s">
        <v>138</v>
      </c>
      <c r="M1" s="12" t="s">
        <v>139</v>
      </c>
      <c r="N1" s="12" t="s">
        <v>140</v>
      </c>
      <c r="O1" s="12" t="s">
        <v>141</v>
      </c>
      <c r="P1" s="12" t="s">
        <v>142</v>
      </c>
      <c r="Q1" s="12" t="s">
        <v>6</v>
      </c>
      <c r="R1" s="13" t="s">
        <v>143</v>
      </c>
      <c r="S1" s="13" t="s">
        <v>144</v>
      </c>
      <c r="T1" s="14" t="s">
        <v>145</v>
      </c>
      <c r="U1" s="13" t="s">
        <v>146</v>
      </c>
      <c r="V1" s="13" t="s">
        <v>147</v>
      </c>
      <c r="W1" s="13" t="s">
        <v>148</v>
      </c>
      <c r="X1" s="13" t="s">
        <v>149</v>
      </c>
      <c r="Y1" s="13" t="s">
        <v>150</v>
      </c>
      <c r="Z1" s="13" t="s">
        <v>151</v>
      </c>
    </row>
    <row r="2" customFormat="false" ht="15" hidden="false" customHeight="true" outlineLevel="0" collapsed="false">
      <c r="A2" s="15" t="s">
        <v>7</v>
      </c>
      <c r="B2" s="15" t="n">
        <v>2020</v>
      </c>
      <c r="C2" s="15" t="s">
        <v>15</v>
      </c>
      <c r="D2" s="15" t="s">
        <v>152</v>
      </c>
      <c r="E2" s="15" t="n">
        <v>129</v>
      </c>
      <c r="F2" s="15" t="s">
        <v>153</v>
      </c>
      <c r="G2" s="15" t="s">
        <v>154</v>
      </c>
      <c r="H2" s="15" t="s">
        <v>155</v>
      </c>
      <c r="I2" s="16" t="n">
        <v>0.06</v>
      </c>
      <c r="J2" s="16" t="n">
        <v>0.08</v>
      </c>
      <c r="K2" s="16" t="n">
        <v>0.06</v>
      </c>
      <c r="L2" s="16" t="n">
        <v>-0.14</v>
      </c>
      <c r="M2" s="16" t="s">
        <v>156</v>
      </c>
      <c r="N2" s="17" t="s">
        <v>156</v>
      </c>
      <c r="O2" s="15" t="s">
        <v>157</v>
      </c>
      <c r="P2" s="15" t="n">
        <v>200</v>
      </c>
      <c r="Q2" s="18"/>
      <c r="R2" s="19" t="n">
        <f aca="false">IF(NOT(ISNUMBER(I2)),"",IF(F2="Mindestprognose",I2,IF(ISNUMBER(J2),(I2+J2)/2,I2)))</f>
        <v>0.07</v>
      </c>
      <c r="S2" s="19" t="n">
        <f aca="false">IF(OR(R2="",NOT(ISNUMBER(L2))),"",R2-L2)</f>
        <v>0.21</v>
      </c>
      <c r="T2" s="19" t="str">
        <f aca="false">IF(OR(S2="",G2&lt;&gt;"absolut",NOT(ISNUMBER(L2)),L2=0),"",S2/ABS(L2))</f>
        <v/>
      </c>
      <c r="U2" s="19" t="str">
        <f aca="false">IF(T2="","",ABS(T2))</f>
        <v/>
      </c>
      <c r="V2" s="20" t="n">
        <f aca="false">IF(OR(F2="Punkt",NOT(ISNUMBER(L2))),"",IF(F2="Mindestprognose",IF(L2&gt;=I2,1,0),IF(AND(ISNUMBER(I2),ISNUMBER(J2),I2&lt;&gt;J2),IF(AND(L2&gt;=I2,L2&lt;=J2),1,0),"")))</f>
        <v>0</v>
      </c>
      <c r="W2" s="18"/>
      <c r="X2" s="0" t="str">
        <f aca="false">IF(OR(F2="qualitativ",F2="fehlend",NOT(ISNUMBER(L2))),"nicht auswertbar",IF(F2="Punkt","Punktprognose",IF(AND(ISNUMBER(I2),ISNUMBER(J2),I2&lt;&gt;J2),IF(L2&lt;I2,"unterhalb",IF(L2&gt;J2,"oberhalb","innerhalb")),"nicht auswertbar")))</f>
        <v>unterhalb</v>
      </c>
      <c r="Y2" s="19" t="n">
        <f aca="false">IF(AND(ISNUMBER(S2),OR(G2="Marge %",G2="Wachstumsrate %")),ABS(S2),"")</f>
        <v>0.21</v>
      </c>
      <c r="Z2" s="0" t="str">
        <f aca="false">IFERROR(VLOOKUP(A2,Unternehmen!$A:$D,4,FALSE()),"")</f>
        <v>Konsumgueter</v>
      </c>
    </row>
    <row r="3" customFormat="false" ht="15" hidden="false" customHeight="true" outlineLevel="0" collapsed="false">
      <c r="A3" s="15" t="s">
        <v>7</v>
      </c>
      <c r="B3" s="15" t="n">
        <v>2020</v>
      </c>
      <c r="C3" s="15" t="s">
        <v>158</v>
      </c>
      <c r="D3" s="15" t="s">
        <v>152</v>
      </c>
      <c r="E3" s="15" t="n">
        <v>130</v>
      </c>
      <c r="F3" s="15" t="s">
        <v>153</v>
      </c>
      <c r="G3" s="15" t="s">
        <v>159</v>
      </c>
      <c r="H3" s="15" t="s">
        <v>160</v>
      </c>
      <c r="I3" s="16" t="n">
        <v>0.115</v>
      </c>
      <c r="J3" s="16" t="n">
        <v>0.118</v>
      </c>
      <c r="K3" s="16" t="n">
        <v>0.113</v>
      </c>
      <c r="L3" s="16" t="n">
        <v>0.038</v>
      </c>
      <c r="M3" s="16" t="s">
        <v>161</v>
      </c>
      <c r="N3" s="21" t="s">
        <v>162</v>
      </c>
      <c r="O3" s="15" t="s">
        <v>157</v>
      </c>
      <c r="P3" s="15" t="n">
        <v>200</v>
      </c>
      <c r="Q3" s="18"/>
      <c r="R3" s="19" t="n">
        <f aca="false">IF(NOT(ISNUMBER(I3)),"",IF(F3="Mindestprognose",I3,IF(ISNUMBER(J3),(I3+J3)/2,I3)))</f>
        <v>0.1165</v>
      </c>
      <c r="S3" s="19" t="n">
        <f aca="false">IF(OR(R3="",NOT(ISNUMBER(L3))),"",R3-L3)</f>
        <v>0.0785</v>
      </c>
      <c r="T3" s="19" t="str">
        <f aca="false">IF(OR(S3="",G3&lt;&gt;"absolut",NOT(ISNUMBER(L3)),L3=0),"",S3/ABS(L3))</f>
        <v/>
      </c>
      <c r="U3" s="19" t="str">
        <f aca="false">IF(T3="","",ABS(T3))</f>
        <v/>
      </c>
      <c r="V3" s="20" t="n">
        <f aca="false">IF(OR(F3="Punkt",NOT(ISNUMBER(L3))),"",IF(F3="Mindestprognose",IF(L3&gt;=I3,1,0),IF(AND(ISNUMBER(I3),ISNUMBER(J3),I3&lt;&gt;J3),IF(AND(L3&gt;=I3,L3&lt;=J3),1,0),"")))</f>
        <v>0</v>
      </c>
      <c r="W3" s="18"/>
      <c r="X3" s="0" t="str">
        <f aca="false">IF(OR(F3="qualitativ",F3="fehlend",NOT(ISNUMBER(L3))),"nicht auswertbar",IF(F3="Punkt","Punktprognose",IF(AND(ISNUMBER(I3),ISNUMBER(J3),I3&lt;&gt;J3),IF(L3&lt;I3,"unterhalb",IF(L3&gt;J3,"oberhalb","innerhalb")),"nicht auswertbar")))</f>
        <v>unterhalb</v>
      </c>
      <c r="Y3" s="19" t="n">
        <f aca="false">IF(AND(ISNUMBER(S3),OR(G3="Marge %",G3="Wachstumsrate %")),ABS(S3),"")</f>
        <v>0.0785</v>
      </c>
      <c r="Z3" s="0" t="str">
        <f aca="false">IFERROR(VLOOKUP(A3,Unternehmen!$A:$D,4,FALSE()),"")</f>
        <v>Konsumgueter</v>
      </c>
    </row>
    <row r="4" customFormat="false" ht="15" hidden="false" customHeight="true" outlineLevel="0" collapsed="false">
      <c r="A4" s="15" t="s">
        <v>7</v>
      </c>
      <c r="B4" s="15" t="n">
        <v>2021</v>
      </c>
      <c r="C4" s="15" t="s">
        <v>15</v>
      </c>
      <c r="D4" s="15" t="s">
        <v>157</v>
      </c>
      <c r="E4" s="15" t="n">
        <v>178</v>
      </c>
      <c r="F4" s="15" t="s">
        <v>153</v>
      </c>
      <c r="G4" s="15" t="s">
        <v>154</v>
      </c>
      <c r="H4" s="15" t="s">
        <v>155</v>
      </c>
      <c r="I4" s="16" t="n">
        <v>0.15</v>
      </c>
      <c r="J4" s="16" t="n">
        <v>0.19</v>
      </c>
      <c r="K4" s="16" t="n">
        <v>-0.14</v>
      </c>
      <c r="L4" s="16" t="n">
        <v>0.16</v>
      </c>
      <c r="M4" s="16" t="s">
        <v>163</v>
      </c>
      <c r="N4" s="22" t="s">
        <v>164</v>
      </c>
      <c r="O4" s="15" t="s">
        <v>165</v>
      </c>
      <c r="P4" s="15" t="n">
        <v>3</v>
      </c>
      <c r="Q4" s="18"/>
      <c r="R4" s="19" t="n">
        <f aca="false">IF(NOT(ISNUMBER(I4)),"",IF(F4="Mindestprognose",I4,IF(ISNUMBER(J4),(I4+J4)/2,I4)))</f>
        <v>0.17</v>
      </c>
      <c r="S4" s="19" t="n">
        <f aca="false">IF(OR(R4="",NOT(ISNUMBER(L4))),"",R4-L4)</f>
        <v>0.00999999999999998</v>
      </c>
      <c r="T4" s="19" t="str">
        <f aca="false">IF(OR(S4="",G4&lt;&gt;"absolut",NOT(ISNUMBER(L4)),L4=0),"",S4/ABS(L4))</f>
        <v/>
      </c>
      <c r="U4" s="19" t="str">
        <f aca="false">IF(T4="","",ABS(T4))</f>
        <v/>
      </c>
      <c r="V4" s="20" t="n">
        <f aca="false">IF(OR(F4="Punkt",NOT(ISNUMBER(L4))),"",IF(F4="Mindestprognose",IF(L4&gt;=I4,1,0),IF(AND(ISNUMBER(I4),ISNUMBER(J4),I4&lt;&gt;J4),IF(AND(L4&gt;=I4,L4&lt;=J4),1,0),"")))</f>
        <v>1</v>
      </c>
      <c r="W4" s="18"/>
      <c r="X4" s="0" t="str">
        <f aca="false">IF(OR(F4="qualitativ",F4="fehlend",NOT(ISNUMBER(L4))),"nicht auswertbar",IF(F4="Punkt","Punktprognose",IF(AND(ISNUMBER(I4),ISNUMBER(J4),I4&lt;&gt;J4),IF(L4&lt;I4,"unterhalb",IF(L4&gt;J4,"oberhalb","innerhalb")),"nicht auswertbar")))</f>
        <v>innerhalb</v>
      </c>
      <c r="Y4" s="19" t="n">
        <f aca="false">IF(AND(ISNUMBER(S4),OR(G4="Marge %",G4="Wachstumsrate %")),ABS(S4),"")</f>
        <v>0.00999999999999998</v>
      </c>
      <c r="Z4" s="0" t="str">
        <f aca="false">IFERROR(VLOOKUP(A4,Unternehmen!$A:$D,4,FALSE()),"")</f>
        <v>Konsumgueter</v>
      </c>
    </row>
    <row r="5" customFormat="false" ht="15" hidden="false" customHeight="true" outlineLevel="0" collapsed="false">
      <c r="A5" s="15" t="s">
        <v>7</v>
      </c>
      <c r="B5" s="15" t="n">
        <v>2021</v>
      </c>
      <c r="C5" s="15" t="s">
        <v>158</v>
      </c>
      <c r="D5" s="15" t="s">
        <v>157</v>
      </c>
      <c r="E5" s="15" t="n">
        <v>179</v>
      </c>
      <c r="F5" s="15" t="s">
        <v>153</v>
      </c>
      <c r="G5" s="15" t="s">
        <v>159</v>
      </c>
      <c r="H5" s="15" t="s">
        <v>160</v>
      </c>
      <c r="I5" s="16" t="n">
        <v>0.09</v>
      </c>
      <c r="J5" s="16" t="n">
        <v>0.1</v>
      </c>
      <c r="K5" s="16" t="n">
        <v>0.04</v>
      </c>
      <c r="L5" s="16" t="n">
        <v>0.094</v>
      </c>
      <c r="M5" s="16" t="s">
        <v>166</v>
      </c>
      <c r="N5" s="22" t="s">
        <v>164</v>
      </c>
      <c r="O5" s="15" t="s">
        <v>165</v>
      </c>
      <c r="P5" s="15" t="n">
        <v>3</v>
      </c>
      <c r="Q5" s="18"/>
      <c r="R5" s="19" t="n">
        <f aca="false">IF(NOT(ISNUMBER(I5)),"",IF(F5="Mindestprognose",I5,IF(ISNUMBER(J5),(I5+J5)/2,I5)))</f>
        <v>0.095</v>
      </c>
      <c r="S5" s="19" t="n">
        <f aca="false">IF(OR(R5="",NOT(ISNUMBER(L5))),"",R5-L5)</f>
        <v>0.001</v>
      </c>
      <c r="T5" s="19" t="str">
        <f aca="false">IF(OR(S5="",G5&lt;&gt;"absolut",NOT(ISNUMBER(L5)),L5=0),"",S5/ABS(L5))</f>
        <v/>
      </c>
      <c r="U5" s="19" t="str">
        <f aca="false">IF(T5="","",ABS(T5))</f>
        <v/>
      </c>
      <c r="V5" s="20" t="n">
        <f aca="false">IF(OR(F5="Punkt",NOT(ISNUMBER(L5))),"",IF(F5="Mindestprognose",IF(L5&gt;=I5,1,0),IF(AND(ISNUMBER(I5),ISNUMBER(J5),I5&lt;&gt;J5),IF(AND(L5&gt;=I5,L5&lt;=J5),1,0),"")))</f>
        <v>1</v>
      </c>
      <c r="W5" s="18"/>
      <c r="X5" s="0" t="str">
        <f aca="false">IF(OR(F5="qualitativ",F5="fehlend",NOT(ISNUMBER(L5))),"nicht auswertbar",IF(F5="Punkt","Punktprognose",IF(AND(ISNUMBER(I5),ISNUMBER(J5),I5&lt;&gt;J5),IF(L5&lt;I5,"unterhalb",IF(L5&gt;J5,"oberhalb","innerhalb")),"nicht auswertbar")))</f>
        <v>innerhalb</v>
      </c>
      <c r="Y5" s="19" t="n">
        <f aca="false">IF(AND(ISNUMBER(S5),OR(G5="Marge %",G5="Wachstumsrate %")),ABS(S5),"")</f>
        <v>0.001</v>
      </c>
      <c r="Z5" s="0" t="str">
        <f aca="false">IFERROR(VLOOKUP(A5,Unternehmen!$A:$D,4,FALSE()),"")</f>
        <v>Konsumgueter</v>
      </c>
    </row>
    <row r="6" customFormat="false" ht="15" hidden="false" customHeight="true" outlineLevel="0" collapsed="false">
      <c r="A6" s="15" t="s">
        <v>7</v>
      </c>
      <c r="B6" s="15" t="n">
        <v>2022</v>
      </c>
      <c r="C6" s="15" t="s">
        <v>15</v>
      </c>
      <c r="D6" s="15" t="s">
        <v>165</v>
      </c>
      <c r="E6" s="15" t="n">
        <v>198</v>
      </c>
      <c r="F6" s="15" t="s">
        <v>153</v>
      </c>
      <c r="G6" s="15" t="s">
        <v>154</v>
      </c>
      <c r="H6" s="15" t="s">
        <v>155</v>
      </c>
      <c r="I6" s="16" t="n">
        <v>0.12</v>
      </c>
      <c r="J6" s="16" t="n">
        <v>0.14</v>
      </c>
      <c r="K6" s="16" t="n">
        <f aca="false">L4</f>
        <v>0.16</v>
      </c>
      <c r="L6" s="16" t="n">
        <v>0.01</v>
      </c>
      <c r="M6" s="16" t="s">
        <v>167</v>
      </c>
      <c r="N6" s="21" t="s">
        <v>168</v>
      </c>
      <c r="O6" s="15" t="s">
        <v>169</v>
      </c>
      <c r="P6" s="15" t="n">
        <v>3</v>
      </c>
      <c r="Q6" s="18"/>
      <c r="R6" s="19" t="n">
        <f aca="false">IF(NOT(ISNUMBER(I6)),"",IF(F6="Mindestprognose",I6,IF(ISNUMBER(J6),(I6+J6)/2,I6)))</f>
        <v>0.13</v>
      </c>
      <c r="S6" s="19" t="n">
        <f aca="false">IF(OR(R6="",NOT(ISNUMBER(L6))),"",R6-L6)</f>
        <v>0.12</v>
      </c>
      <c r="T6" s="19" t="str">
        <f aca="false">IF(OR(S6="",G6&lt;&gt;"absolut",NOT(ISNUMBER(L6)),L6=0),"",S6/ABS(L6))</f>
        <v/>
      </c>
      <c r="U6" s="19" t="str">
        <f aca="false">IF(T6="","",ABS(T6))</f>
        <v/>
      </c>
      <c r="V6" s="20" t="n">
        <f aca="false">IF(OR(F6="Punkt",NOT(ISNUMBER(L6))),"",IF(F6="Mindestprognose",IF(L6&gt;=I6,1,0),IF(AND(ISNUMBER(I6),ISNUMBER(J6),I6&lt;&gt;J6),IF(AND(L6&gt;=I6,L6&lt;=J6),1,0),"")))</f>
        <v>0</v>
      </c>
      <c r="W6" s="18"/>
      <c r="X6" s="0" t="str">
        <f aca="false">IF(OR(F6="qualitativ",F6="fehlend",NOT(ISNUMBER(L6))),"nicht auswertbar",IF(F6="Punkt","Punktprognose",IF(AND(ISNUMBER(I6),ISNUMBER(J6),I6&lt;&gt;J6),IF(L6&lt;I6,"unterhalb",IF(L6&gt;J6,"oberhalb","innerhalb")),"nicht auswertbar")))</f>
        <v>unterhalb</v>
      </c>
      <c r="Y6" s="19" t="n">
        <f aca="false">IF(AND(ISNUMBER(S6),OR(G6="Marge %",G6="Wachstumsrate %")),ABS(S6),"")</f>
        <v>0.12</v>
      </c>
      <c r="Z6" s="0" t="str">
        <f aca="false">IFERROR(VLOOKUP(A6,Unternehmen!$A:$D,4,FALSE()),"")</f>
        <v>Konsumgueter</v>
      </c>
    </row>
    <row r="7" customFormat="false" ht="15" hidden="false" customHeight="true" outlineLevel="0" collapsed="false">
      <c r="A7" s="15" t="s">
        <v>7</v>
      </c>
      <c r="B7" s="15" t="n">
        <v>2022</v>
      </c>
      <c r="C7" s="15" t="s">
        <v>158</v>
      </c>
      <c r="D7" s="15" t="s">
        <v>170</v>
      </c>
      <c r="E7" s="15" t="n">
        <v>198</v>
      </c>
      <c r="F7" s="15" t="s">
        <v>153</v>
      </c>
      <c r="G7" s="15" t="s">
        <v>159</v>
      </c>
      <c r="H7" s="15" t="s">
        <v>160</v>
      </c>
      <c r="I7" s="16" t="n">
        <v>0.105</v>
      </c>
      <c r="J7" s="16" t="n">
        <v>0.11</v>
      </c>
      <c r="K7" s="16" t="n">
        <f aca="false">L5</f>
        <v>0.094</v>
      </c>
      <c r="L7" s="16" t="n">
        <v>0.03</v>
      </c>
      <c r="M7" s="16" t="s">
        <v>171</v>
      </c>
      <c r="N7" s="21" t="s">
        <v>172</v>
      </c>
      <c r="O7" s="15" t="s">
        <v>169</v>
      </c>
      <c r="P7" s="15" t="n">
        <v>3</v>
      </c>
      <c r="Q7" s="18"/>
      <c r="R7" s="19" t="n">
        <f aca="false">IF(NOT(ISNUMBER(I7)),"",IF(F7="Mindestprognose",I7,IF(ISNUMBER(J7),(I7+J7)/2,I7)))</f>
        <v>0.1075</v>
      </c>
      <c r="S7" s="19" t="n">
        <f aca="false">IF(OR(R7="",NOT(ISNUMBER(L7))),"",R7-L7)</f>
        <v>0.0775</v>
      </c>
      <c r="T7" s="19" t="str">
        <f aca="false">IF(OR(S7="",G7&lt;&gt;"absolut",NOT(ISNUMBER(L7)),L7=0),"",S7/ABS(L7))</f>
        <v/>
      </c>
      <c r="U7" s="19" t="str">
        <f aca="false">IF(T7="","",ABS(T7))</f>
        <v/>
      </c>
      <c r="V7" s="20" t="n">
        <f aca="false">IF(OR(F7="Punkt",NOT(ISNUMBER(L7))),"",IF(F7="Mindestprognose",IF(L7&gt;=I7,1,0),IF(AND(ISNUMBER(I7),ISNUMBER(J7),I7&lt;&gt;J7),IF(AND(L7&gt;=I7,L7&lt;=J7),1,0),"")))</f>
        <v>0</v>
      </c>
      <c r="W7" s="18"/>
      <c r="X7" s="0" t="str">
        <f aca="false">IF(OR(F7="qualitativ",F7="fehlend",NOT(ISNUMBER(L7))),"nicht auswertbar",IF(F7="Punkt","Punktprognose",IF(AND(ISNUMBER(I7),ISNUMBER(J7),I7&lt;&gt;J7),IF(L7&lt;I7,"unterhalb",IF(L7&gt;J7,"oberhalb","innerhalb")),"nicht auswertbar")))</f>
        <v>unterhalb</v>
      </c>
      <c r="Y7" s="19" t="n">
        <f aca="false">IF(AND(ISNUMBER(S7),OR(G7="Marge %",G7="Wachstumsrate %")),ABS(S7),"")</f>
        <v>0.0775</v>
      </c>
      <c r="Z7" s="0" t="str">
        <f aca="false">IFERROR(VLOOKUP(A7,Unternehmen!$A:$D,4,FALSE()),"")</f>
        <v>Konsumgueter</v>
      </c>
    </row>
    <row r="8" customFormat="false" ht="14.25" hidden="false" customHeight="true" outlineLevel="0" collapsed="false">
      <c r="A8" s="15" t="s">
        <v>7</v>
      </c>
      <c r="B8" s="15" t="n">
        <v>2023</v>
      </c>
      <c r="C8" s="15" t="s">
        <v>15</v>
      </c>
      <c r="D8" s="15" t="s">
        <v>169</v>
      </c>
      <c r="E8" s="15" t="n">
        <v>169</v>
      </c>
      <c r="F8" s="15" t="s">
        <v>153</v>
      </c>
      <c r="G8" s="15" t="s">
        <v>154</v>
      </c>
      <c r="H8" s="15" t="s">
        <v>155</v>
      </c>
      <c r="I8" s="16" t="n">
        <v>-0.09</v>
      </c>
      <c r="J8" s="16" t="n">
        <v>-0.07</v>
      </c>
      <c r="K8" s="16" t="n">
        <f aca="false">L7</f>
        <v>0.03</v>
      </c>
      <c r="L8" s="16" t="n">
        <v>0</v>
      </c>
      <c r="M8" s="16" t="s">
        <v>173</v>
      </c>
      <c r="N8" s="23" t="s">
        <v>174</v>
      </c>
      <c r="O8" s="15" t="s">
        <v>175</v>
      </c>
      <c r="P8" s="15" t="n">
        <v>4</v>
      </c>
      <c r="Q8" s="18"/>
      <c r="R8" s="19" t="n">
        <f aca="false">IF(NOT(ISNUMBER(I8)),"",IF(F8="Mindestprognose",I8,IF(ISNUMBER(J8),(I8+J8)/2,I8)))</f>
        <v>-0.08</v>
      </c>
      <c r="S8" s="19" t="n">
        <f aca="false">IF(OR(R8="",NOT(ISNUMBER(L8))),"",R8-L8)</f>
        <v>-0.08</v>
      </c>
      <c r="T8" s="19" t="str">
        <f aca="false">IF(OR(S8="",G8&lt;&gt;"absolut",NOT(ISNUMBER(L8)),L8=0),"",S8/ABS(L8))</f>
        <v/>
      </c>
      <c r="U8" s="19" t="str">
        <f aca="false">IF(T8="","",ABS(T8))</f>
        <v/>
      </c>
      <c r="V8" s="20" t="n">
        <f aca="false">IF(OR(F8="Punkt",NOT(ISNUMBER(L8))),"",IF(F8="Mindestprognose",IF(L8&gt;=I8,1,0),IF(AND(ISNUMBER(I8),ISNUMBER(J8),I8&lt;&gt;J8),IF(AND(L8&gt;=I8,L8&lt;=J8),1,0),"")))</f>
        <v>0</v>
      </c>
      <c r="W8" s="18"/>
      <c r="X8" s="0" t="str">
        <f aca="false">IF(OR(F8="qualitativ",F8="fehlend",NOT(ISNUMBER(L8))),"nicht auswertbar",IF(F8="Punkt","Punktprognose",IF(AND(ISNUMBER(I8),ISNUMBER(J8),I8&lt;&gt;J8),IF(L8&lt;I8,"unterhalb",IF(L8&gt;J8,"oberhalb","innerhalb")),"nicht auswertbar")))</f>
        <v>oberhalb</v>
      </c>
      <c r="Y8" s="19" t="n">
        <f aca="false">IF(AND(ISNUMBER(S8),OR(G8="Marge %",G8="Wachstumsrate %")),ABS(S8),"")</f>
        <v>0.08</v>
      </c>
      <c r="Z8" s="0" t="str">
        <f aca="false">IFERROR(VLOOKUP(A8,Unternehmen!$A:$D,4,FALSE()),"")</f>
        <v>Konsumgueter</v>
      </c>
    </row>
    <row r="9" customFormat="false" ht="15" hidden="false" customHeight="true" outlineLevel="0" collapsed="false">
      <c r="A9" s="15" t="s">
        <v>7</v>
      </c>
      <c r="B9" s="15" t="n">
        <v>2023</v>
      </c>
      <c r="C9" s="15" t="s">
        <v>158</v>
      </c>
      <c r="D9" s="15" t="s">
        <v>169</v>
      </c>
      <c r="E9" s="15" t="n">
        <v>169</v>
      </c>
      <c r="F9" s="15" t="s">
        <v>176</v>
      </c>
      <c r="G9" s="15" t="s">
        <v>177</v>
      </c>
      <c r="H9" s="15" t="s">
        <v>178</v>
      </c>
      <c r="I9" s="17" t="n">
        <v>-700</v>
      </c>
      <c r="J9" s="17" t="n">
        <v>-700</v>
      </c>
      <c r="K9" s="24"/>
      <c r="L9" s="17" t="n">
        <v>268</v>
      </c>
      <c r="M9" s="24"/>
      <c r="N9" s="23" t="s">
        <v>174</v>
      </c>
      <c r="O9" s="15" t="s">
        <v>175</v>
      </c>
      <c r="P9" s="15" t="n">
        <v>4</v>
      </c>
      <c r="Q9" s="18" t="s">
        <v>179</v>
      </c>
      <c r="R9" s="25" t="n">
        <f aca="false">IF(NOT(ISNUMBER(I9)),"",IF(F9="Mindestprognose",I9,IF(ISNUMBER(J9),(I9+J9)/2,I9)))</f>
        <v>-700</v>
      </c>
      <c r="S9" s="25" t="n">
        <f aca="false">IF(OR(R9="",NOT(ISNUMBER(L9))),"",R9-L9)</f>
        <v>-968</v>
      </c>
      <c r="T9" s="19" t="n">
        <f aca="false">IF(OR(S9="",G9&lt;&gt;"absolut",NOT(ISNUMBER(L9)),L9=0),"",S9/ABS(L9))</f>
        <v>-3.61194029850746</v>
      </c>
      <c r="U9" s="19" t="n">
        <f aca="false">IF(T9="","",ABS(T9))</f>
        <v>3.61194029850746</v>
      </c>
      <c r="V9" s="20" t="str">
        <f aca="false">IF(OR(F9="Punkt",NOT(ISNUMBER(L9))),"",IF(F9="Mindestprognose",IF(L9&gt;=I9,1,0),IF(AND(ISNUMBER(I9),ISNUMBER(J9),I9&lt;&gt;J9),IF(AND(L9&gt;=I9,L9&lt;=J9),1,0),"")))</f>
        <v/>
      </c>
      <c r="W9" s="18"/>
      <c r="X9" s="0" t="str">
        <f aca="false">IF(OR(F9="qualitativ",F9="fehlend",NOT(ISNUMBER(L9))),"nicht auswertbar",IF(F9="Punkt","Punktprognose",IF(AND(ISNUMBER(I9),ISNUMBER(J9),I9&lt;&gt;J9),IF(L9&lt;I9,"unterhalb",IF(L9&gt;J9,"oberhalb","innerhalb")),"nicht auswertbar")))</f>
        <v>Punktprognose</v>
      </c>
      <c r="Y9" s="25" t="str">
        <f aca="false">IF(AND(ISNUMBER(S9),OR(G9="Marge %",G9="Wachstumsrate %")),ABS(S9),"")</f>
        <v/>
      </c>
      <c r="Z9" s="0" t="str">
        <f aca="false">IFERROR(VLOOKUP(A9,Unternehmen!$A:$D,4,FALSE()),"")</f>
        <v>Konsumgueter</v>
      </c>
    </row>
    <row r="10" customFormat="false" ht="15" hidden="false" customHeight="true" outlineLevel="0" collapsed="false">
      <c r="A10" s="15" t="s">
        <v>7</v>
      </c>
      <c r="B10" s="15" t="n">
        <v>2024</v>
      </c>
      <c r="C10" s="15" t="s">
        <v>15</v>
      </c>
      <c r="D10" s="15" t="s">
        <v>175</v>
      </c>
      <c r="E10" s="15" t="n">
        <v>179</v>
      </c>
      <c r="F10" s="15" t="s">
        <v>153</v>
      </c>
      <c r="G10" s="15" t="s">
        <v>154</v>
      </c>
      <c r="H10" s="15" t="s">
        <v>155</v>
      </c>
      <c r="I10" s="16" t="n">
        <v>0.04</v>
      </c>
      <c r="J10" s="16" t="n">
        <v>0.06</v>
      </c>
      <c r="K10" s="16" t="n">
        <f aca="false">L8</f>
        <v>0</v>
      </c>
      <c r="L10" s="16" t="n">
        <v>0.12</v>
      </c>
      <c r="M10" s="16" t="s">
        <v>180</v>
      </c>
      <c r="N10" s="23" t="s">
        <v>174</v>
      </c>
      <c r="O10" s="15" t="s">
        <v>181</v>
      </c>
      <c r="P10" s="15" t="n">
        <v>4</v>
      </c>
      <c r="Q10" s="18"/>
      <c r="R10" s="19" t="n">
        <f aca="false">IF(NOT(ISNUMBER(I10)),"",IF(F10="Mindestprognose",I10,IF(ISNUMBER(J10),(I10+J10)/2,I10)))</f>
        <v>0.05</v>
      </c>
      <c r="S10" s="19" t="n">
        <f aca="false">IF(OR(R10="",NOT(ISNUMBER(L10))),"",R10-L10)</f>
        <v>-0.07</v>
      </c>
      <c r="T10" s="19" t="str">
        <f aca="false">IF(OR(S10="",G10&lt;&gt;"absolut",NOT(ISNUMBER(L10)),L10=0),"",S10/ABS(L10))</f>
        <v/>
      </c>
      <c r="U10" s="19" t="str">
        <f aca="false">IF(T10="","",ABS(T10))</f>
        <v/>
      </c>
      <c r="V10" s="20" t="n">
        <f aca="false">IF(OR(F10="Punkt",NOT(ISNUMBER(L10))),"",IF(F10="Mindestprognose",IF(L10&gt;=I10,1,0),IF(AND(ISNUMBER(I10),ISNUMBER(J10),I10&lt;&gt;J10),IF(AND(L10&gt;=I10,L10&lt;=J10),1,0),"")))</f>
        <v>0</v>
      </c>
      <c r="W10" s="18"/>
      <c r="X10" s="0" t="str">
        <f aca="false">IF(OR(F10="qualitativ",F10="fehlend",NOT(ISNUMBER(L10))),"nicht auswertbar",IF(F10="Punkt","Punktprognose",IF(AND(ISNUMBER(I10),ISNUMBER(J10),I10&lt;&gt;J10),IF(L10&lt;I10,"unterhalb",IF(L10&gt;J10,"oberhalb","innerhalb")),"nicht auswertbar")))</f>
        <v>oberhalb</v>
      </c>
      <c r="Y10" s="19" t="n">
        <f aca="false">IF(AND(ISNUMBER(S10),OR(G10="Marge %",G10="Wachstumsrate %")),ABS(S10),"")</f>
        <v>0.07</v>
      </c>
      <c r="Z10" s="0" t="str">
        <f aca="false">IFERROR(VLOOKUP(A10,Unternehmen!$A:$D,4,FALSE()),"")</f>
        <v>Konsumgueter</v>
      </c>
    </row>
    <row r="11" customFormat="false" ht="15" hidden="false" customHeight="true" outlineLevel="0" collapsed="false">
      <c r="A11" s="15" t="s">
        <v>7</v>
      </c>
      <c r="B11" s="15" t="n">
        <v>2024</v>
      </c>
      <c r="C11" s="15" t="s">
        <v>158</v>
      </c>
      <c r="D11" s="15" t="s">
        <v>175</v>
      </c>
      <c r="E11" s="15" t="n">
        <v>179</v>
      </c>
      <c r="F11" s="15" t="s">
        <v>176</v>
      </c>
      <c r="G11" s="15" t="s">
        <v>177</v>
      </c>
      <c r="H11" s="15" t="s">
        <v>178</v>
      </c>
      <c r="I11" s="17" t="n">
        <v>500</v>
      </c>
      <c r="J11" s="17" t="n">
        <v>500</v>
      </c>
      <c r="K11" s="17" t="n">
        <f aca="false">L9</f>
        <v>268</v>
      </c>
      <c r="L11" s="17" t="n">
        <v>1337</v>
      </c>
      <c r="M11" s="17" t="n">
        <f aca="false">L11-K11</f>
        <v>1069</v>
      </c>
      <c r="N11" s="23" t="s">
        <v>174</v>
      </c>
      <c r="O11" s="15" t="s">
        <v>181</v>
      </c>
      <c r="P11" s="15" t="n">
        <v>4</v>
      </c>
      <c r="Q11" s="18"/>
      <c r="R11" s="25" t="n">
        <f aca="false">IF(NOT(ISNUMBER(I11)),"",IF(F11="Mindestprognose",I11,IF(ISNUMBER(J11),(I11+J11)/2,I11)))</f>
        <v>500</v>
      </c>
      <c r="S11" s="25" t="n">
        <f aca="false">IF(OR(R11="",NOT(ISNUMBER(L11))),"",R11-L11)</f>
        <v>-837</v>
      </c>
      <c r="T11" s="19" t="n">
        <f aca="false">IF(OR(S11="",G11&lt;&gt;"absolut",NOT(ISNUMBER(L11)),L11=0),"",S11/ABS(L11))</f>
        <v>-0.62602842183994</v>
      </c>
      <c r="U11" s="19" t="n">
        <f aca="false">IF(T11="","",ABS(T11))</f>
        <v>0.62602842183994</v>
      </c>
      <c r="V11" s="20" t="str">
        <f aca="false">IF(OR(F11="Punkt",NOT(ISNUMBER(L11))),"",IF(F11="Mindestprognose",IF(L11&gt;=I11,1,0),IF(AND(ISNUMBER(I11),ISNUMBER(J11),I11&lt;&gt;J11),IF(AND(L11&gt;=I11,L11&lt;=J11),1,0),"")))</f>
        <v/>
      </c>
      <c r="W11" s="18"/>
      <c r="X11" s="0" t="str">
        <f aca="false">IF(OR(F11="qualitativ",F11="fehlend",NOT(ISNUMBER(L11))),"nicht auswertbar",IF(F11="Punkt","Punktprognose",IF(AND(ISNUMBER(I11),ISNUMBER(J11),I11&lt;&gt;J11),IF(L11&lt;I11,"unterhalb",IF(L11&gt;J11,"oberhalb","innerhalb")),"nicht auswertbar")))</f>
        <v>Punktprognose</v>
      </c>
      <c r="Y11" s="25" t="str">
        <f aca="false">IF(AND(ISNUMBER(S11),OR(G11="Marge %",G11="Wachstumsrate %")),ABS(S11),"")</f>
        <v/>
      </c>
      <c r="Z11" s="0" t="str">
        <f aca="false">IFERROR(VLOOKUP(A11,Unternehmen!$A:$D,4,FALSE()),"")</f>
        <v>Konsumgueter</v>
      </c>
    </row>
    <row r="12" customFormat="false" ht="15" hidden="false" customHeight="true" outlineLevel="0" collapsed="false">
      <c r="A12" s="15" t="s">
        <v>12</v>
      </c>
      <c r="B12" s="15" t="n">
        <v>2020</v>
      </c>
      <c r="C12" s="15" t="s">
        <v>158</v>
      </c>
      <c r="D12" s="15" t="s">
        <v>182</v>
      </c>
      <c r="E12" s="15" t="n">
        <v>67</v>
      </c>
      <c r="F12" s="15" t="s">
        <v>183</v>
      </c>
      <c r="G12" s="15" t="s">
        <v>177</v>
      </c>
      <c r="H12" s="15" t="s">
        <v>184</v>
      </c>
      <c r="I12" s="17" t="n">
        <v>11.5</v>
      </c>
      <c r="J12" s="17" t="n">
        <v>12.5</v>
      </c>
      <c r="K12" s="17" t="n">
        <v>11.855</v>
      </c>
      <c r="L12" s="17" t="n">
        <v>10.751</v>
      </c>
      <c r="M12" s="17" t="n">
        <f aca="false">L12-K12</f>
        <v>-1.104</v>
      </c>
      <c r="N12" s="17" t="s">
        <v>185</v>
      </c>
      <c r="O12" s="15" t="s">
        <v>186</v>
      </c>
      <c r="P12" s="15" t="n">
        <v>67</v>
      </c>
      <c r="Q12" s="18"/>
      <c r="R12" s="25" t="n">
        <f aca="false">IF(NOT(ISNUMBER(I12)),"",IF(F12="Mindestprognose",I12,IF(ISNUMBER(J12),(I12+J12)/2,I12)))</f>
        <v>12</v>
      </c>
      <c r="S12" s="25" t="n">
        <f aca="false">IF(OR(R12="",NOT(ISNUMBER(L12))),"",R12-L12)</f>
        <v>1.249</v>
      </c>
      <c r="T12" s="19" t="n">
        <f aca="false">IF(OR(S12="",G12&lt;&gt;"absolut",NOT(ISNUMBER(L12)),L12=0),"",S12/ABS(L12))</f>
        <v>0.116175239512604</v>
      </c>
      <c r="U12" s="19" t="n">
        <f aca="false">IF(T12="","",ABS(T12))</f>
        <v>0.116175239512604</v>
      </c>
      <c r="V12" s="20" t="n">
        <f aca="false">IF(OR(F12="Punkt",NOT(ISNUMBER(L12))),"",IF(F12="Mindestprognose",IF(L12&gt;=I12,1,0),IF(AND(ISNUMBER(I12),ISNUMBER(J12),I12&lt;&gt;J12),IF(AND(L12&gt;=I12,L12&lt;=J12),1,0),"")))</f>
        <v>0</v>
      </c>
      <c r="W12" s="18"/>
      <c r="X12" s="0" t="str">
        <f aca="false">IF(OR(F12="qualitativ",F12="fehlend",NOT(ISNUMBER(L12))),"nicht auswertbar",IF(F12="Punkt","Punktprognose",IF(AND(ISNUMBER(I12),ISNUMBER(J12),I12&lt;&gt;J12),IF(L12&lt;I12,"unterhalb",IF(L12&gt;J12,"oberhalb","innerhalb")),"nicht auswertbar")))</f>
        <v>unterhalb</v>
      </c>
      <c r="Y12" s="25" t="str">
        <f aca="false">IF(AND(ISNUMBER(S12),OR(G12="Marge %",G12="Wachstumsrate %")),ABS(S12),"")</f>
        <v/>
      </c>
      <c r="Z12" s="0" t="str">
        <f aca="false">IFERROR(VLOOKUP(A12,Unternehmen!$A:$D,4,FALSE()),"")</f>
        <v>Versicherungen</v>
      </c>
    </row>
    <row r="13" customFormat="false" ht="15" hidden="false" customHeight="true" outlineLevel="0" collapsed="false">
      <c r="A13" s="15" t="s">
        <v>12</v>
      </c>
      <c r="B13" s="15" t="n">
        <v>2020</v>
      </c>
      <c r="C13" s="15" t="s">
        <v>15</v>
      </c>
      <c r="D13" s="15" t="s">
        <v>182</v>
      </c>
      <c r="E13" s="15" t="n">
        <v>68</v>
      </c>
      <c r="F13" s="15" t="s">
        <v>187</v>
      </c>
      <c r="G13" s="15" t="s">
        <v>177</v>
      </c>
      <c r="H13" s="15" t="s">
        <v>178</v>
      </c>
      <c r="I13" s="24"/>
      <c r="J13" s="24"/>
      <c r="K13" s="17" t="n">
        <v>142.369</v>
      </c>
      <c r="L13" s="17" t="n">
        <v>140.455</v>
      </c>
      <c r="M13" s="17" t="n">
        <f aca="false">L13-K13</f>
        <v>-1.91399999999999</v>
      </c>
      <c r="N13" s="26" t="s">
        <v>188</v>
      </c>
      <c r="O13" s="15" t="s">
        <v>186</v>
      </c>
      <c r="P13" s="15" t="n">
        <v>67</v>
      </c>
      <c r="Q13" s="18"/>
      <c r="R13" s="25" t="str">
        <f aca="false">IF(NOT(ISNUMBER(I13)),"",IF(F13="Mindestprognose",I13,IF(ISNUMBER(J13),(I13+J13)/2,I13)))</f>
        <v/>
      </c>
      <c r="S13" s="25" t="str">
        <f aca="false">IF(OR(R13="",NOT(ISNUMBER(L13))),"",R13-L13)</f>
        <v/>
      </c>
      <c r="T13" s="19" t="str">
        <f aca="false">IF(OR(S13="",G13&lt;&gt;"absolut",NOT(ISNUMBER(L13)),L13=0),"",S13/ABS(L13))</f>
        <v/>
      </c>
      <c r="U13" s="19" t="str">
        <f aca="false">IF(T13="","",ABS(T13))</f>
        <v/>
      </c>
      <c r="V13" s="20" t="str">
        <f aca="false">IF(OR(F13="Punkt",NOT(ISNUMBER(L13))),"",IF(F13="Mindestprognose",IF(L13&gt;=I13,1,0),IF(AND(ISNUMBER(I13),ISNUMBER(J13),I13&lt;&gt;J13),IF(AND(L13&gt;=I13,L13&lt;=J13),1,0),"")))</f>
        <v/>
      </c>
      <c r="W13" s="18" t="s">
        <v>189</v>
      </c>
      <c r="X13" s="0" t="str">
        <f aca="false">IF(OR(F13="qualitativ",F13="fehlend",NOT(ISNUMBER(L13))),"nicht auswertbar",IF(F13="Punkt","Punktprognose",IF(AND(ISNUMBER(I13),ISNUMBER(J13),I13&lt;&gt;J13),IF(L13&lt;I13,"unterhalb",IF(L13&gt;J13,"oberhalb","innerhalb")),"nicht auswertbar")))</f>
        <v>nicht auswertbar</v>
      </c>
      <c r="Y13" s="25" t="str">
        <f aca="false">IF(AND(ISNUMBER(S13),OR(G13="Marge %",G13="Wachstumsrate %")),ABS(S13),"")</f>
        <v/>
      </c>
      <c r="Z13" s="0" t="str">
        <f aca="false">IFERROR(VLOOKUP(A13,Unternehmen!$A:$D,4,FALSE()),"")</f>
        <v>Versicherungen</v>
      </c>
    </row>
    <row r="14" customFormat="false" ht="15" hidden="false" customHeight="true" outlineLevel="0" collapsed="false">
      <c r="A14" s="15" t="s">
        <v>12</v>
      </c>
      <c r="B14" s="15" t="n">
        <v>2021</v>
      </c>
      <c r="C14" s="15" t="s">
        <v>158</v>
      </c>
      <c r="D14" s="15" t="s">
        <v>186</v>
      </c>
      <c r="E14" s="15" t="n">
        <v>80</v>
      </c>
      <c r="F14" s="15" t="s">
        <v>183</v>
      </c>
      <c r="G14" s="15" t="s">
        <v>177</v>
      </c>
      <c r="H14" s="15" t="s">
        <v>184</v>
      </c>
      <c r="I14" s="17" t="n">
        <v>11</v>
      </c>
      <c r="J14" s="17" t="n">
        <v>13</v>
      </c>
      <c r="K14" s="17" t="n">
        <f aca="false">L12</f>
        <v>10.751</v>
      </c>
      <c r="L14" s="17" t="n">
        <v>13.4</v>
      </c>
      <c r="M14" s="17" t="n">
        <f aca="false">L14-K14</f>
        <v>2.649</v>
      </c>
      <c r="N14" s="23" t="s">
        <v>174</v>
      </c>
      <c r="O14" s="15" t="s">
        <v>190</v>
      </c>
      <c r="P14" s="15" t="n">
        <v>78</v>
      </c>
      <c r="Q14" s="18"/>
      <c r="R14" s="25" t="n">
        <f aca="false">IF(NOT(ISNUMBER(I14)),"",IF(F14="Mindestprognose",I14,IF(ISNUMBER(J14),(I14+J14)/2,I14)))</f>
        <v>12</v>
      </c>
      <c r="S14" s="25" t="n">
        <f aca="false">IF(OR(R14="",NOT(ISNUMBER(L14))),"",R14-L14)</f>
        <v>-1.4</v>
      </c>
      <c r="T14" s="19" t="n">
        <f aca="false">IF(OR(S14="",G14&lt;&gt;"absolut",NOT(ISNUMBER(L14)),L14=0),"",S14/ABS(L14))</f>
        <v>-0.104477611940299</v>
      </c>
      <c r="U14" s="19" t="n">
        <f aca="false">IF(T14="","",ABS(T14))</f>
        <v>0.104477611940299</v>
      </c>
      <c r="V14" s="20" t="n">
        <f aca="false">IF(OR(F14="Punkt",NOT(ISNUMBER(L14))),"",IF(F14="Mindestprognose",IF(L14&gt;=I14,1,0),IF(AND(ISNUMBER(I14),ISNUMBER(J14),I14&lt;&gt;J14),IF(AND(L14&gt;=I14,L14&lt;=J14),1,0),"")))</f>
        <v>0</v>
      </c>
      <c r="W14" s="18"/>
      <c r="X14" s="0" t="str">
        <f aca="false">IF(OR(F14="qualitativ",F14="fehlend",NOT(ISNUMBER(L14))),"nicht auswertbar",IF(F14="Punkt","Punktprognose",IF(AND(ISNUMBER(I14),ISNUMBER(J14),I14&lt;&gt;J14),IF(L14&lt;I14,"unterhalb",IF(L14&gt;J14,"oberhalb","innerhalb")),"nicht auswertbar")))</f>
        <v>oberhalb</v>
      </c>
      <c r="Y14" s="25" t="str">
        <f aca="false">IF(AND(ISNUMBER(S14),OR(G14="Marge %",G14="Wachstumsrate %")),ABS(S14),"")</f>
        <v/>
      </c>
      <c r="Z14" s="0" t="str">
        <f aca="false">IFERROR(VLOOKUP(A14,Unternehmen!$A:$D,4,FALSE()),"")</f>
        <v>Versicherungen</v>
      </c>
    </row>
    <row r="15" customFormat="false" ht="15" hidden="false" customHeight="true" outlineLevel="0" collapsed="false">
      <c r="A15" s="15" t="s">
        <v>12</v>
      </c>
      <c r="B15" s="15" t="n">
        <v>2021</v>
      </c>
      <c r="C15" s="15" t="s">
        <v>15</v>
      </c>
      <c r="D15" s="15" t="s">
        <v>186</v>
      </c>
      <c r="E15" s="15" t="n">
        <v>80</v>
      </c>
      <c r="F15" s="15" t="s">
        <v>187</v>
      </c>
      <c r="G15" s="15" t="s">
        <v>177</v>
      </c>
      <c r="H15" s="15" t="s">
        <v>178</v>
      </c>
      <c r="I15" s="24"/>
      <c r="J15" s="24"/>
      <c r="K15" s="17" t="n">
        <f aca="false">L13</f>
        <v>140.455</v>
      </c>
      <c r="L15" s="17" t="n">
        <v>148.511</v>
      </c>
      <c r="M15" s="17" t="n">
        <f aca="false">L15-K15</f>
        <v>8.05599999999998</v>
      </c>
      <c r="N15" s="22" t="s">
        <v>164</v>
      </c>
      <c r="O15" s="15" t="s">
        <v>190</v>
      </c>
      <c r="P15" s="15" t="n">
        <v>78</v>
      </c>
      <c r="Q15" s="18"/>
      <c r="R15" s="25" t="str">
        <f aca="false">IF(NOT(ISNUMBER(I15)),"",IF(F15="Mindestprognose",I15,IF(ISNUMBER(J15),(I15+J15)/2,I15)))</f>
        <v/>
      </c>
      <c r="S15" s="25" t="str">
        <f aca="false">IF(OR(R15="",NOT(ISNUMBER(L15))),"",R15-L15)</f>
        <v/>
      </c>
      <c r="T15" s="19" t="str">
        <f aca="false">IF(OR(S15="",G15&lt;&gt;"absolut",NOT(ISNUMBER(L15)),L15=0),"",S15/ABS(L15))</f>
        <v/>
      </c>
      <c r="U15" s="19" t="str">
        <f aca="false">IF(T15="","",ABS(T15))</f>
        <v/>
      </c>
      <c r="V15" s="20" t="str">
        <f aca="false">IF(OR(F15="Punkt",NOT(ISNUMBER(L15))),"",IF(F15="Mindestprognose",IF(L15&gt;=I15,1,0),IF(AND(ISNUMBER(I15),ISNUMBER(J15),I15&lt;&gt;J15),IF(AND(L15&gt;=I15,L15&lt;=J15),1,0),"")))</f>
        <v/>
      </c>
      <c r="W15" s="18" t="s">
        <v>189</v>
      </c>
      <c r="X15" s="0" t="str">
        <f aca="false">IF(OR(F15="qualitativ",F15="fehlend",NOT(ISNUMBER(L15))),"nicht auswertbar",IF(F15="Punkt","Punktprognose",IF(AND(ISNUMBER(I15),ISNUMBER(J15),I15&lt;&gt;J15),IF(L15&lt;I15,"unterhalb",IF(L15&gt;J15,"oberhalb","innerhalb")),"nicht auswertbar")))</f>
        <v>nicht auswertbar</v>
      </c>
      <c r="Y15" s="25" t="str">
        <f aca="false">IF(AND(ISNUMBER(S15),OR(G15="Marge %",G15="Wachstumsrate %")),ABS(S15),"")</f>
        <v/>
      </c>
      <c r="Z15" s="0" t="str">
        <f aca="false">IFERROR(VLOOKUP(A15,Unternehmen!$A:$D,4,FALSE()),"")</f>
        <v>Versicherungen</v>
      </c>
    </row>
    <row r="16" customFormat="false" ht="15" hidden="false" customHeight="true" outlineLevel="0" collapsed="false">
      <c r="A16" s="15" t="s">
        <v>12</v>
      </c>
      <c r="B16" s="15" t="n">
        <v>2022</v>
      </c>
      <c r="C16" s="15" t="s">
        <v>158</v>
      </c>
      <c r="D16" s="15" t="s">
        <v>190</v>
      </c>
      <c r="E16" s="15" t="n">
        <v>90</v>
      </c>
      <c r="F16" s="15" t="s">
        <v>183</v>
      </c>
      <c r="G16" s="15" t="s">
        <v>177</v>
      </c>
      <c r="H16" s="15" t="s">
        <v>184</v>
      </c>
      <c r="I16" s="17" t="n">
        <v>12.4</v>
      </c>
      <c r="J16" s="17" t="n">
        <v>14.4</v>
      </c>
      <c r="K16" s="17" t="n">
        <f aca="false">L14</f>
        <v>13.4</v>
      </c>
      <c r="L16" s="17" t="n">
        <v>14.164</v>
      </c>
      <c r="M16" s="17" t="n">
        <f aca="false">L16-K16</f>
        <v>0.763999999999999</v>
      </c>
      <c r="N16" s="22" t="s">
        <v>164</v>
      </c>
      <c r="O16" s="15" t="s">
        <v>191</v>
      </c>
      <c r="P16" s="15" t="n">
        <v>81</v>
      </c>
      <c r="Q16" s="18"/>
      <c r="R16" s="25" t="n">
        <f aca="false">IF(NOT(ISNUMBER(I16)),"",IF(F16="Mindestprognose",I16,IF(ISNUMBER(J16),(I16+J16)/2,I16)))</f>
        <v>13.4</v>
      </c>
      <c r="S16" s="25" t="n">
        <f aca="false">IF(OR(R16="",NOT(ISNUMBER(L16))),"",R16-L16)</f>
        <v>-0.763999999999999</v>
      </c>
      <c r="T16" s="19" t="n">
        <f aca="false">IF(OR(S16="",G16&lt;&gt;"absolut",NOT(ISNUMBER(L16)),L16=0),"",S16/ABS(L16))</f>
        <v>-0.053939565094606</v>
      </c>
      <c r="U16" s="19" t="n">
        <f aca="false">IF(T16="","",ABS(T16))</f>
        <v>0.053939565094606</v>
      </c>
      <c r="V16" s="20" t="n">
        <f aca="false">IF(OR(F16="Punkt",NOT(ISNUMBER(L16))),"",IF(F16="Mindestprognose",IF(L16&gt;=I16,1,0),IF(AND(ISNUMBER(I16),ISNUMBER(J16),I16&lt;&gt;J16),IF(AND(L16&gt;=I16,L16&lt;=J16),1,0),"")))</f>
        <v>1</v>
      </c>
      <c r="W16" s="18"/>
      <c r="X16" s="0" t="str">
        <f aca="false">IF(OR(F16="qualitativ",F16="fehlend",NOT(ISNUMBER(L16))),"nicht auswertbar",IF(F16="Punkt","Punktprognose",IF(AND(ISNUMBER(I16),ISNUMBER(J16),I16&lt;&gt;J16),IF(L16&lt;I16,"unterhalb",IF(L16&gt;J16,"oberhalb","innerhalb")),"nicht auswertbar")))</f>
        <v>innerhalb</v>
      </c>
      <c r="Y16" s="25" t="str">
        <f aca="false">IF(AND(ISNUMBER(S16),OR(G16="Marge %",G16="Wachstumsrate %")),ABS(S16),"")</f>
        <v/>
      </c>
      <c r="Z16" s="0" t="str">
        <f aca="false">IFERROR(VLOOKUP(A16,Unternehmen!$A:$D,4,FALSE()),"")</f>
        <v>Versicherungen</v>
      </c>
    </row>
    <row r="17" customFormat="false" ht="15" hidden="false" customHeight="true" outlineLevel="0" collapsed="false">
      <c r="A17" s="15" t="s">
        <v>12</v>
      </c>
      <c r="B17" s="15" t="n">
        <v>2022</v>
      </c>
      <c r="C17" s="15" t="s">
        <v>15</v>
      </c>
      <c r="D17" s="15" t="s">
        <v>190</v>
      </c>
      <c r="E17" s="15" t="n">
        <v>91</v>
      </c>
      <c r="F17" s="15" t="s">
        <v>187</v>
      </c>
      <c r="G17" s="15" t="s">
        <v>177</v>
      </c>
      <c r="H17" s="15" t="s">
        <v>178</v>
      </c>
      <c r="I17" s="24"/>
      <c r="J17" s="24"/>
      <c r="K17" s="17" t="n">
        <f aca="false">L15</f>
        <v>148.511</v>
      </c>
      <c r="L17" s="17" t="n">
        <v>152.671</v>
      </c>
      <c r="M17" s="17" t="n">
        <f aca="false">L17-K17</f>
        <v>4.16</v>
      </c>
      <c r="N17" s="22" t="s">
        <v>164</v>
      </c>
      <c r="O17" s="15" t="s">
        <v>191</v>
      </c>
      <c r="P17" s="15" t="n">
        <v>81</v>
      </c>
      <c r="Q17" s="18"/>
      <c r="R17" s="25" t="str">
        <f aca="false">IF(NOT(ISNUMBER(I17)),"",IF(F17="Mindestprognose",I17,IF(ISNUMBER(J17),(I17+J17)/2,I17)))</f>
        <v/>
      </c>
      <c r="S17" s="25" t="str">
        <f aca="false">IF(OR(R17="",NOT(ISNUMBER(L17))),"",R17-L17)</f>
        <v/>
      </c>
      <c r="T17" s="19" t="str">
        <f aca="false">IF(OR(S17="",G17&lt;&gt;"absolut",NOT(ISNUMBER(L17)),L17=0),"",S17/ABS(L17))</f>
        <v/>
      </c>
      <c r="U17" s="19" t="str">
        <f aca="false">IF(T17="","",ABS(T17))</f>
        <v/>
      </c>
      <c r="V17" s="20" t="str">
        <f aca="false">IF(OR(F17="Punkt",NOT(ISNUMBER(L17))),"",IF(F17="Mindestprognose",IF(L17&gt;=I17,1,0),IF(AND(ISNUMBER(I17),ISNUMBER(J17),I17&lt;&gt;J17),IF(AND(L17&gt;=I17,L17&lt;=J17),1,0),"")))</f>
        <v/>
      </c>
      <c r="W17" s="18" t="s">
        <v>189</v>
      </c>
      <c r="X17" s="0" t="str">
        <f aca="false">IF(OR(F17="qualitativ",F17="fehlend",NOT(ISNUMBER(L17))),"nicht auswertbar",IF(F17="Punkt","Punktprognose",IF(AND(ISNUMBER(I17),ISNUMBER(J17),I17&lt;&gt;J17),IF(L17&lt;I17,"unterhalb",IF(L17&gt;J17,"oberhalb","innerhalb")),"nicht auswertbar")))</f>
        <v>nicht auswertbar</v>
      </c>
      <c r="Y17" s="25" t="str">
        <f aca="false">IF(AND(ISNUMBER(S17),OR(G17="Marge %",G17="Wachstumsrate %")),ABS(S17),"")</f>
        <v/>
      </c>
      <c r="Z17" s="0" t="str">
        <f aca="false">IFERROR(VLOOKUP(A17,Unternehmen!$A:$D,4,FALSE()),"")</f>
        <v>Versicherungen</v>
      </c>
    </row>
    <row r="18" customFormat="false" ht="15" hidden="false" customHeight="true" outlineLevel="0" collapsed="false">
      <c r="A18" s="15" t="s">
        <v>12</v>
      </c>
      <c r="B18" s="15" t="n">
        <v>2023</v>
      </c>
      <c r="C18" s="15" t="s">
        <v>158</v>
      </c>
      <c r="D18" s="15" t="s">
        <v>191</v>
      </c>
      <c r="E18" s="15" t="n">
        <v>94</v>
      </c>
      <c r="F18" s="15" t="s">
        <v>183</v>
      </c>
      <c r="G18" s="15" t="s">
        <v>177</v>
      </c>
      <c r="H18" s="15" t="s">
        <v>184</v>
      </c>
      <c r="I18" s="17" t="n">
        <v>13.2</v>
      </c>
      <c r="J18" s="17" t="n">
        <v>15.2</v>
      </c>
      <c r="K18" s="17" t="n">
        <f aca="false">L16</f>
        <v>14.164</v>
      </c>
      <c r="L18" s="17" t="n">
        <v>14.7</v>
      </c>
      <c r="M18" s="17" t="n">
        <f aca="false">L18-K18</f>
        <v>0.536</v>
      </c>
      <c r="N18" s="22" t="s">
        <v>164</v>
      </c>
      <c r="O18" s="15" t="s">
        <v>192</v>
      </c>
      <c r="P18" s="15" t="n">
        <v>128</v>
      </c>
      <c r="Q18" s="18"/>
      <c r="R18" s="25" t="n">
        <f aca="false">IF(NOT(ISNUMBER(I18)),"",IF(F18="Mindestprognose",I18,IF(ISNUMBER(J18),(I18+J18)/2,I18)))</f>
        <v>14.2</v>
      </c>
      <c r="S18" s="25" t="n">
        <f aca="false">IF(OR(R18="",NOT(ISNUMBER(L18))),"",R18-L18)</f>
        <v>-0.5</v>
      </c>
      <c r="T18" s="19" t="n">
        <f aca="false">IF(OR(S18="",G18&lt;&gt;"absolut",NOT(ISNUMBER(L18)),L18=0),"",S18/ABS(L18))</f>
        <v>-0.0340136054421769</v>
      </c>
      <c r="U18" s="19" t="n">
        <f aca="false">IF(T18="","",ABS(T18))</f>
        <v>0.0340136054421769</v>
      </c>
      <c r="V18" s="20" t="n">
        <f aca="false">IF(OR(F18="Punkt",NOT(ISNUMBER(L18))),"",IF(F18="Mindestprognose",IF(L18&gt;=I18,1,0),IF(AND(ISNUMBER(I18),ISNUMBER(J18),I18&lt;&gt;J18),IF(AND(L18&gt;=I18,L18&lt;=J18),1,0),"")))</f>
        <v>1</v>
      </c>
      <c r="W18" s="18"/>
      <c r="X18" s="0" t="str">
        <f aca="false">IF(OR(F18="qualitativ",F18="fehlend",NOT(ISNUMBER(L18))),"nicht auswertbar",IF(F18="Punkt","Punktprognose",IF(AND(ISNUMBER(I18),ISNUMBER(J18),I18&lt;&gt;J18),IF(L18&lt;I18,"unterhalb",IF(L18&gt;J18,"oberhalb","innerhalb")),"nicht auswertbar")))</f>
        <v>innerhalb</v>
      </c>
      <c r="Y18" s="25" t="str">
        <f aca="false">IF(AND(ISNUMBER(S18),OR(G18="Marge %",G18="Wachstumsrate %")),ABS(S18),"")</f>
        <v/>
      </c>
      <c r="Z18" s="0" t="str">
        <f aca="false">IFERROR(VLOOKUP(A18,Unternehmen!$A:$D,4,FALSE()),"")</f>
        <v>Versicherungen</v>
      </c>
    </row>
    <row r="19" customFormat="false" ht="15" hidden="false" customHeight="true" outlineLevel="0" collapsed="false">
      <c r="A19" s="15" t="s">
        <v>12</v>
      </c>
      <c r="B19" s="15" t="n">
        <v>2023</v>
      </c>
      <c r="C19" s="15" t="s">
        <v>15</v>
      </c>
      <c r="D19" s="15" t="s">
        <v>191</v>
      </c>
      <c r="E19" s="15" t="n">
        <v>94</v>
      </c>
      <c r="F19" s="15" t="s">
        <v>176</v>
      </c>
      <c r="G19" s="15" t="s">
        <v>154</v>
      </c>
      <c r="H19" s="15" t="s">
        <v>155</v>
      </c>
      <c r="I19" s="16" t="n">
        <v>0.07</v>
      </c>
      <c r="J19" s="16" t="n">
        <v>0.07</v>
      </c>
      <c r="K19" s="27"/>
      <c r="L19" s="16" t="n">
        <v>0.08</v>
      </c>
      <c r="M19" s="27"/>
      <c r="N19" s="23" t="s">
        <v>174</v>
      </c>
      <c r="O19" s="15" t="s">
        <v>192</v>
      </c>
      <c r="P19" s="15" t="n">
        <v>128</v>
      </c>
      <c r="Q19" s="18"/>
      <c r="R19" s="19" t="n">
        <f aca="false">IF(NOT(ISNUMBER(I19)),"",IF(F19="Mindestprognose",I19,IF(ISNUMBER(J19),(I19+J19)/2,I19)))</f>
        <v>0.07</v>
      </c>
      <c r="S19" s="19" t="n">
        <f aca="false">IF(OR(R19="",NOT(ISNUMBER(L19))),"",R19-L19)</f>
        <v>-0.01</v>
      </c>
      <c r="T19" s="19" t="str">
        <f aca="false">IF(OR(S19="",G19&lt;&gt;"absolut",NOT(ISNUMBER(L19)),L19=0),"",S19/ABS(L19))</f>
        <v/>
      </c>
      <c r="U19" s="19" t="str">
        <f aca="false">IF(T19="","",ABS(T19))</f>
        <v/>
      </c>
      <c r="V19" s="20" t="str">
        <f aca="false">IF(OR(F19="Punkt",NOT(ISNUMBER(L19))),"",IF(F19="Mindestprognose",IF(L19&gt;=I19,1,0),IF(AND(ISNUMBER(I19),ISNUMBER(J19),I19&lt;&gt;J19),IF(AND(L19&gt;=I19,L19&lt;=J19),1,0),"")))</f>
        <v/>
      </c>
      <c r="W19" s="18" t="s">
        <v>193</v>
      </c>
      <c r="X19" s="0" t="str">
        <f aca="false">IF(OR(F19="qualitativ",F19="fehlend",NOT(ISNUMBER(L19))),"nicht auswertbar",IF(F19="Punkt","Punktprognose",IF(AND(ISNUMBER(I19),ISNUMBER(J19),I19&lt;&gt;J19),IF(L19&lt;I19,"unterhalb",IF(L19&gt;J19,"oberhalb","innerhalb")),"nicht auswertbar")))</f>
        <v>Punktprognose</v>
      </c>
      <c r="Y19" s="19" t="n">
        <f aca="false">IF(AND(ISNUMBER(S19),OR(G19="Marge %",G19="Wachstumsrate %")),ABS(S19),"")</f>
        <v>0.01</v>
      </c>
      <c r="Z19" s="0" t="str">
        <f aca="false">IFERROR(VLOOKUP(A19,Unternehmen!$A:$D,4,FALSE()),"")</f>
        <v>Versicherungen</v>
      </c>
    </row>
    <row r="20" customFormat="false" ht="15" hidden="false" customHeight="true" outlineLevel="0" collapsed="false">
      <c r="A20" s="15" t="s">
        <v>12</v>
      </c>
      <c r="B20" s="15" t="n">
        <v>2024</v>
      </c>
      <c r="C20" s="15" t="s">
        <v>158</v>
      </c>
      <c r="D20" s="15" t="s">
        <v>192</v>
      </c>
      <c r="E20" s="15" t="n">
        <v>130</v>
      </c>
      <c r="F20" s="15" t="s">
        <v>183</v>
      </c>
      <c r="G20" s="15" t="s">
        <v>177</v>
      </c>
      <c r="H20" s="15" t="s">
        <v>184</v>
      </c>
      <c r="I20" s="17" t="n">
        <v>13.8</v>
      </c>
      <c r="J20" s="17" t="n">
        <v>15.8</v>
      </c>
      <c r="K20" s="17" t="n">
        <f aca="false">L18</f>
        <v>14.7</v>
      </c>
      <c r="L20" s="17" t="n">
        <v>16</v>
      </c>
      <c r="M20" s="17" t="n">
        <f aca="false">L20-K20</f>
        <v>1.3</v>
      </c>
      <c r="N20" s="23" t="s">
        <v>174</v>
      </c>
      <c r="O20" s="15" t="s">
        <v>194</v>
      </c>
      <c r="P20" s="15" t="n">
        <v>222</v>
      </c>
      <c r="Q20" s="18"/>
      <c r="R20" s="25" t="n">
        <f aca="false">IF(NOT(ISNUMBER(I20)),"",IF(F20="Mindestprognose",I20,IF(ISNUMBER(J20),(I20+J20)/2,I20)))</f>
        <v>14.8</v>
      </c>
      <c r="S20" s="25" t="n">
        <f aca="false">IF(OR(R20="",NOT(ISNUMBER(L20))),"",R20-L20)</f>
        <v>-1.2</v>
      </c>
      <c r="T20" s="19" t="n">
        <f aca="false">IF(OR(S20="",G20&lt;&gt;"absolut",NOT(ISNUMBER(L20)),L20=0),"",S20/ABS(L20))</f>
        <v>-0.075</v>
      </c>
      <c r="U20" s="19" t="n">
        <f aca="false">IF(T20="","",ABS(T20))</f>
        <v>0.075</v>
      </c>
      <c r="V20" s="20" t="n">
        <f aca="false">IF(OR(F20="Punkt",NOT(ISNUMBER(L20))),"",IF(F20="Mindestprognose",IF(L20&gt;=I20,1,0),IF(AND(ISNUMBER(I20),ISNUMBER(J20),I20&lt;&gt;J20),IF(AND(L20&gt;=I20,L20&lt;=J20),1,0),"")))</f>
        <v>0</v>
      </c>
      <c r="W20" s="18"/>
      <c r="X20" s="0" t="str">
        <f aca="false">IF(OR(F20="qualitativ",F20="fehlend",NOT(ISNUMBER(L20))),"nicht auswertbar",IF(F20="Punkt","Punktprognose",IF(AND(ISNUMBER(I20),ISNUMBER(J20),I20&lt;&gt;J20),IF(L20&lt;I20,"unterhalb",IF(L20&gt;J20,"oberhalb","innerhalb")),"nicht auswertbar")))</f>
        <v>oberhalb</v>
      </c>
      <c r="Y20" s="25" t="str">
        <f aca="false">IF(AND(ISNUMBER(S20),OR(G20="Marge %",G20="Wachstumsrate %")),ABS(S20),"")</f>
        <v/>
      </c>
      <c r="Z20" s="0" t="str">
        <f aca="false">IFERROR(VLOOKUP(A20,Unternehmen!$A:$D,4,FALSE()),"")</f>
        <v>Versicherungen</v>
      </c>
    </row>
    <row r="21" customFormat="false" ht="15" hidden="false" customHeight="true" outlineLevel="0" collapsed="false">
      <c r="A21" s="15" t="s">
        <v>12</v>
      </c>
      <c r="B21" s="15" t="n">
        <v>2024</v>
      </c>
      <c r="C21" s="15" t="s">
        <v>15</v>
      </c>
      <c r="D21" s="15" t="s">
        <v>192</v>
      </c>
      <c r="E21" s="15" t="n">
        <v>130</v>
      </c>
      <c r="F21" s="15" t="s">
        <v>176</v>
      </c>
      <c r="G21" s="15" t="s">
        <v>154</v>
      </c>
      <c r="H21" s="15" t="s">
        <v>155</v>
      </c>
      <c r="I21" s="16" t="n">
        <v>0.03</v>
      </c>
      <c r="J21" s="16" t="n">
        <v>0.03</v>
      </c>
      <c r="K21" s="16" t="n">
        <f aca="false">L19</f>
        <v>0.08</v>
      </c>
      <c r="L21" s="16" t="n">
        <v>0.083</v>
      </c>
      <c r="M21" s="16" t="s">
        <v>195</v>
      </c>
      <c r="N21" s="22" t="s">
        <v>164</v>
      </c>
      <c r="O21" s="15" t="s">
        <v>194</v>
      </c>
      <c r="P21" s="15" t="n">
        <v>222</v>
      </c>
      <c r="Q21" s="18"/>
      <c r="R21" s="19" t="n">
        <f aca="false">IF(NOT(ISNUMBER(I21)),"",IF(F21="Mindestprognose",I21,IF(ISNUMBER(J21),(I21+J21)/2,I21)))</f>
        <v>0.03</v>
      </c>
      <c r="S21" s="19" t="n">
        <f aca="false">IF(OR(R21="",NOT(ISNUMBER(L21))),"",R21-L21)</f>
        <v>-0.053</v>
      </c>
      <c r="T21" s="19" t="str">
        <f aca="false">IF(OR(S21="",G21&lt;&gt;"absolut",NOT(ISNUMBER(L21)),L21=0),"",S21/ABS(L21))</f>
        <v/>
      </c>
      <c r="U21" s="19" t="str">
        <f aca="false">IF(T21="","",ABS(T21))</f>
        <v/>
      </c>
      <c r="V21" s="20" t="str">
        <f aca="false">IF(OR(F21="Punkt",NOT(ISNUMBER(L21))),"",IF(F21="Mindestprognose",IF(L21&gt;=I21,1,0),IF(AND(ISNUMBER(I21),ISNUMBER(J21),I21&lt;&gt;J21),IF(AND(L21&gt;=I21,L21&lt;=J21),1,0),"")))</f>
        <v/>
      </c>
      <c r="W21" s="18" t="s">
        <v>196</v>
      </c>
      <c r="X21" s="0" t="str">
        <f aca="false">IF(OR(F21="qualitativ",F21="fehlend",NOT(ISNUMBER(L21))),"nicht auswertbar",IF(F21="Punkt","Punktprognose",IF(AND(ISNUMBER(I21),ISNUMBER(J21),I21&lt;&gt;J21),IF(L21&lt;I21,"unterhalb",IF(L21&gt;J21,"oberhalb","innerhalb")),"nicht auswertbar")))</f>
        <v>Punktprognose</v>
      </c>
      <c r="Y21" s="19" t="n">
        <f aca="false">IF(AND(ISNUMBER(S21),OR(G21="Marge %",G21="Wachstumsrate %")),ABS(S21),"")</f>
        <v>0.053</v>
      </c>
      <c r="Z21" s="0" t="str">
        <f aca="false">IFERROR(VLOOKUP(A21,Unternehmen!$A:$D,4,FALSE()),"")</f>
        <v>Versicherungen</v>
      </c>
    </row>
    <row r="22" customFormat="false" ht="15" hidden="false" customHeight="true" outlineLevel="0" collapsed="false">
      <c r="A22" s="15" t="s">
        <v>18</v>
      </c>
      <c r="B22" s="15" t="n">
        <v>2020</v>
      </c>
      <c r="C22" s="15" t="s">
        <v>15</v>
      </c>
      <c r="D22" s="15" t="s">
        <v>197</v>
      </c>
      <c r="E22" s="15" t="n">
        <v>136</v>
      </c>
      <c r="F22" s="15" t="s">
        <v>183</v>
      </c>
      <c r="G22" s="15" t="s">
        <v>177</v>
      </c>
      <c r="H22" s="15" t="s">
        <v>184</v>
      </c>
      <c r="I22" s="17" t="n">
        <v>60</v>
      </c>
      <c r="J22" s="17" t="n">
        <v>63</v>
      </c>
      <c r="K22" s="17" t="n">
        <v>59.316</v>
      </c>
      <c r="L22" s="17" t="n">
        <v>59.149</v>
      </c>
      <c r="M22" s="17" t="n">
        <f aca="false">L22-K22</f>
        <v>-0.167000000000002</v>
      </c>
      <c r="N22" s="17" t="s">
        <v>198</v>
      </c>
      <c r="O22" s="15" t="s">
        <v>199</v>
      </c>
      <c r="P22" s="15" t="n">
        <v>156</v>
      </c>
      <c r="Q22" s="18"/>
      <c r="R22" s="25" t="n">
        <f aca="false">IF(NOT(ISNUMBER(I22)),"",IF(F22="Mindestprognose",I22,IF(ISNUMBER(J22),(I22+J22)/2,I22)))</f>
        <v>61.5</v>
      </c>
      <c r="S22" s="25" t="n">
        <f aca="false">IF(OR(R22="",NOT(ISNUMBER(L22))),"",R22-L22)</f>
        <v>2.351</v>
      </c>
      <c r="T22" s="19" t="n">
        <f aca="false">IF(OR(S22="",G22&lt;&gt;"absolut",NOT(ISNUMBER(L22)),L22=0),"",S22/ABS(L22))</f>
        <v>0.0397470794096265</v>
      </c>
      <c r="U22" s="19" t="n">
        <f aca="false">IF(T22="","",ABS(T22))</f>
        <v>0.0397470794096265</v>
      </c>
      <c r="V22" s="20" t="n">
        <f aca="false">IF(OR(F22="Punkt",NOT(ISNUMBER(L22))),"",IF(F22="Mindestprognose",IF(L22&gt;=I22,1,0),IF(AND(ISNUMBER(I22),ISNUMBER(J22),I22&lt;&gt;J22),IF(AND(L22&gt;=I22,L22&lt;=J22),1,0),"")))</f>
        <v>0</v>
      </c>
      <c r="W22" s="18"/>
      <c r="X22" s="0" t="str">
        <f aca="false">IF(OR(F22="qualitativ",F22="fehlend",NOT(ISNUMBER(L22))),"nicht auswertbar",IF(F22="Punkt","Punktprognose",IF(AND(ISNUMBER(I22),ISNUMBER(J22),I22&lt;&gt;J22),IF(L22&lt;I22,"unterhalb",IF(L22&gt;J22,"oberhalb","innerhalb")),"nicht auswertbar")))</f>
        <v>unterhalb</v>
      </c>
      <c r="Y22" s="25" t="str">
        <f aca="false">IF(AND(ISNUMBER(S22),OR(G22="Marge %",G22="Wachstumsrate %")),ABS(S22),"")</f>
        <v/>
      </c>
      <c r="Z22" s="0" t="str">
        <f aca="false">IFERROR(VLOOKUP(A22,Unternehmen!$A:$D,4,FALSE()),"")</f>
        <v>Chemie</v>
      </c>
    </row>
    <row r="23" customFormat="false" ht="15" hidden="false" customHeight="true" outlineLevel="0" collapsed="false">
      <c r="A23" s="15" t="s">
        <v>18</v>
      </c>
      <c r="B23" s="15" t="n">
        <v>2020</v>
      </c>
      <c r="C23" s="15" t="s">
        <v>158</v>
      </c>
      <c r="D23" s="15" t="s">
        <v>197</v>
      </c>
      <c r="E23" s="15" t="n">
        <v>136</v>
      </c>
      <c r="F23" s="15" t="s">
        <v>183</v>
      </c>
      <c r="G23" s="15" t="s">
        <v>177</v>
      </c>
      <c r="H23" s="15" t="s">
        <v>184</v>
      </c>
      <c r="I23" s="17" t="n">
        <v>4.2</v>
      </c>
      <c r="J23" s="17" t="n">
        <v>4.8</v>
      </c>
      <c r="K23" s="17" t="n">
        <v>4.536</v>
      </c>
      <c r="L23" s="17" t="n">
        <v>3.56</v>
      </c>
      <c r="M23" s="17" t="n">
        <f aca="false">L23-K23</f>
        <v>-0.976</v>
      </c>
      <c r="N23" s="17" t="s">
        <v>200</v>
      </c>
      <c r="O23" s="15" t="s">
        <v>199</v>
      </c>
      <c r="P23" s="15" t="n">
        <v>156</v>
      </c>
      <c r="Q23" s="18"/>
      <c r="R23" s="25" t="n">
        <f aca="false">IF(NOT(ISNUMBER(I23)),"",IF(F23="Mindestprognose",I23,IF(ISNUMBER(J23),(I23+J23)/2,I23)))</f>
        <v>4.5</v>
      </c>
      <c r="S23" s="25" t="n">
        <f aca="false">IF(OR(R23="",NOT(ISNUMBER(L23))),"",R23-L23)</f>
        <v>0.94</v>
      </c>
      <c r="T23" s="19" t="n">
        <f aca="false">IF(OR(S23="",G23&lt;&gt;"absolut",NOT(ISNUMBER(L23)),L23=0),"",S23/ABS(L23))</f>
        <v>0.264044943820225</v>
      </c>
      <c r="U23" s="19" t="n">
        <f aca="false">IF(T23="","",ABS(T23))</f>
        <v>0.264044943820225</v>
      </c>
      <c r="V23" s="20" t="n">
        <f aca="false">IF(OR(F23="Punkt",NOT(ISNUMBER(L23))),"",IF(F23="Mindestprognose",IF(L23&gt;=I23,1,0),IF(AND(ISNUMBER(I23),ISNUMBER(J23),I23&lt;&gt;J23),IF(AND(L23&gt;=I23,L23&lt;=J23),1,0),"")))</f>
        <v>0</v>
      </c>
      <c r="W23" s="18"/>
      <c r="X23" s="0" t="str">
        <f aca="false">IF(OR(F23="qualitativ",F23="fehlend",NOT(ISNUMBER(L23))),"nicht auswertbar",IF(F23="Punkt","Punktprognose",IF(AND(ISNUMBER(I23),ISNUMBER(J23),I23&lt;&gt;J23),IF(L23&lt;I23,"unterhalb",IF(L23&gt;J23,"oberhalb","innerhalb")),"nicht auswertbar")))</f>
        <v>unterhalb</v>
      </c>
      <c r="Y23" s="25" t="str">
        <f aca="false">IF(AND(ISNUMBER(S23),OR(G23="Marge %",G23="Wachstumsrate %")),ABS(S23),"")</f>
        <v/>
      </c>
      <c r="Z23" s="0" t="str">
        <f aca="false">IFERROR(VLOOKUP(A23,Unternehmen!$A:$D,4,FALSE()),"")</f>
        <v>Chemie</v>
      </c>
    </row>
    <row r="24" customFormat="false" ht="15" hidden="false" customHeight="true" outlineLevel="0" collapsed="false">
      <c r="A24" s="15" t="s">
        <v>18</v>
      </c>
      <c r="B24" s="15" t="n">
        <v>2021</v>
      </c>
      <c r="C24" s="15" t="s">
        <v>15</v>
      </c>
      <c r="D24" s="15" t="s">
        <v>199</v>
      </c>
      <c r="E24" s="15" t="n">
        <v>155</v>
      </c>
      <c r="F24" s="15" t="s">
        <v>183</v>
      </c>
      <c r="G24" s="15" t="s">
        <v>177</v>
      </c>
      <c r="H24" s="15" t="s">
        <v>184</v>
      </c>
      <c r="I24" s="17" t="n">
        <v>61</v>
      </c>
      <c r="J24" s="17" t="n">
        <v>64</v>
      </c>
      <c r="K24" s="17" t="n">
        <f aca="false">L22</f>
        <v>59.149</v>
      </c>
      <c r="L24" s="17" t="n">
        <v>78.598</v>
      </c>
      <c r="M24" s="17" t="n">
        <f aca="false">L24-K24</f>
        <v>19.449</v>
      </c>
      <c r="N24" s="23" t="s">
        <v>174</v>
      </c>
      <c r="O24" s="15" t="s">
        <v>201</v>
      </c>
      <c r="P24" s="15" t="n">
        <v>149</v>
      </c>
      <c r="Q24" s="18"/>
      <c r="R24" s="25" t="n">
        <f aca="false">IF(NOT(ISNUMBER(I24)),"",IF(F24="Mindestprognose",I24,IF(ISNUMBER(J24),(I24+J24)/2,I24)))</f>
        <v>62.5</v>
      </c>
      <c r="S24" s="25" t="n">
        <f aca="false">IF(OR(R24="",NOT(ISNUMBER(L24))),"",R24-L24)</f>
        <v>-16.098</v>
      </c>
      <c r="T24" s="19" t="n">
        <f aca="false">IF(OR(S24="",G24&lt;&gt;"absolut",NOT(ISNUMBER(L24)),L24=0),"",S24/ABS(L24))</f>
        <v>-0.204814371866969</v>
      </c>
      <c r="U24" s="19" t="n">
        <f aca="false">IF(T24="","",ABS(T24))</f>
        <v>0.204814371866969</v>
      </c>
      <c r="V24" s="20" t="n">
        <f aca="false">IF(OR(F24="Punkt",NOT(ISNUMBER(L24))),"",IF(F24="Mindestprognose",IF(L24&gt;=I24,1,0),IF(AND(ISNUMBER(I24),ISNUMBER(J24),I24&lt;&gt;J24),IF(AND(L24&gt;=I24,L24&lt;=J24),1,0),"")))</f>
        <v>0</v>
      </c>
      <c r="W24" s="18"/>
      <c r="X24" s="0" t="str">
        <f aca="false">IF(OR(F24="qualitativ",F24="fehlend",NOT(ISNUMBER(L24))),"nicht auswertbar",IF(F24="Punkt","Punktprognose",IF(AND(ISNUMBER(I24),ISNUMBER(J24),I24&lt;&gt;J24),IF(L24&lt;I24,"unterhalb",IF(L24&gt;J24,"oberhalb","innerhalb")),"nicht auswertbar")))</f>
        <v>oberhalb</v>
      </c>
      <c r="Y24" s="25" t="str">
        <f aca="false">IF(AND(ISNUMBER(S24),OR(G24="Marge %",G24="Wachstumsrate %")),ABS(S24),"")</f>
        <v/>
      </c>
      <c r="Z24" s="0" t="str">
        <f aca="false">IFERROR(VLOOKUP(A24,Unternehmen!$A:$D,4,FALSE()),"")</f>
        <v>Chemie</v>
      </c>
    </row>
    <row r="25" customFormat="false" ht="15" hidden="false" customHeight="true" outlineLevel="0" collapsed="false">
      <c r="A25" s="15" t="s">
        <v>18</v>
      </c>
      <c r="B25" s="15" t="n">
        <v>2021</v>
      </c>
      <c r="C25" s="15" t="s">
        <v>158</v>
      </c>
      <c r="D25" s="15" t="s">
        <v>199</v>
      </c>
      <c r="E25" s="15" t="n">
        <v>155</v>
      </c>
      <c r="F25" s="15" t="s">
        <v>183</v>
      </c>
      <c r="G25" s="15" t="s">
        <v>177</v>
      </c>
      <c r="H25" s="15" t="s">
        <v>184</v>
      </c>
      <c r="I25" s="17" t="n">
        <v>4.1</v>
      </c>
      <c r="J25" s="17" t="n">
        <v>5</v>
      </c>
      <c r="K25" s="17" t="n">
        <f aca="false">L23</f>
        <v>3.56</v>
      </c>
      <c r="L25" s="17" t="n">
        <v>7.768</v>
      </c>
      <c r="M25" s="17" t="n">
        <f aca="false">L25-K25</f>
        <v>4.208</v>
      </c>
      <c r="N25" s="23" t="s">
        <v>174</v>
      </c>
      <c r="O25" s="15" t="s">
        <v>201</v>
      </c>
      <c r="P25" s="15" t="n">
        <v>149</v>
      </c>
      <c r="Q25" s="18"/>
      <c r="R25" s="25" t="n">
        <f aca="false">IF(NOT(ISNUMBER(I25)),"",IF(F25="Mindestprognose",I25,IF(ISNUMBER(J25),(I25+J25)/2,I25)))</f>
        <v>4.55</v>
      </c>
      <c r="S25" s="25" t="n">
        <f aca="false">IF(OR(R25="",NOT(ISNUMBER(L25))),"",R25-L25)</f>
        <v>-3.218</v>
      </c>
      <c r="T25" s="19" t="n">
        <f aca="false">IF(OR(S25="",G25&lt;&gt;"absolut",NOT(ISNUMBER(L25)),L25=0),"",S25/ABS(L25))</f>
        <v>-0.414263645726056</v>
      </c>
      <c r="U25" s="19" t="n">
        <f aca="false">IF(T25="","",ABS(T25))</f>
        <v>0.414263645726056</v>
      </c>
      <c r="V25" s="20" t="n">
        <f aca="false">IF(OR(F25="Punkt",NOT(ISNUMBER(L25))),"",IF(F25="Mindestprognose",IF(L25&gt;=I25,1,0),IF(AND(ISNUMBER(I25),ISNUMBER(J25),I25&lt;&gt;J25),IF(AND(L25&gt;=I25,L25&lt;=J25),1,0),"")))</f>
        <v>0</v>
      </c>
      <c r="W25" s="18"/>
      <c r="X25" s="0" t="str">
        <f aca="false">IF(OR(F25="qualitativ",F25="fehlend",NOT(ISNUMBER(L25))),"nicht auswertbar",IF(F25="Punkt","Punktprognose",IF(AND(ISNUMBER(I25),ISNUMBER(J25),I25&lt;&gt;J25),IF(L25&lt;I25,"unterhalb",IF(L25&gt;J25,"oberhalb","innerhalb")),"nicht auswertbar")))</f>
        <v>oberhalb</v>
      </c>
      <c r="Y25" s="25" t="str">
        <f aca="false">IF(AND(ISNUMBER(S25),OR(G25="Marge %",G25="Wachstumsrate %")),ABS(S25),"")</f>
        <v/>
      </c>
      <c r="Z25" s="0" t="str">
        <f aca="false">IFERROR(VLOOKUP(A25,Unternehmen!$A:$D,4,FALSE()),"")</f>
        <v>Chemie</v>
      </c>
    </row>
    <row r="26" customFormat="false" ht="15" hidden="false" customHeight="true" outlineLevel="0" collapsed="false">
      <c r="A26" s="15" t="s">
        <v>18</v>
      </c>
      <c r="B26" s="15" t="n">
        <v>2022</v>
      </c>
      <c r="C26" s="15" t="s">
        <v>15</v>
      </c>
      <c r="D26" s="15" t="s">
        <v>201</v>
      </c>
      <c r="E26" s="15" t="n">
        <v>149</v>
      </c>
      <c r="F26" s="15" t="s">
        <v>183</v>
      </c>
      <c r="G26" s="15" t="s">
        <v>177</v>
      </c>
      <c r="H26" s="15" t="s">
        <v>184</v>
      </c>
      <c r="I26" s="17" t="n">
        <v>74</v>
      </c>
      <c r="J26" s="17" t="n">
        <v>77</v>
      </c>
      <c r="K26" s="17" t="n">
        <f aca="false">L24</f>
        <v>78.598</v>
      </c>
      <c r="L26" s="17" t="n">
        <v>87.327</v>
      </c>
      <c r="M26" s="17" t="n">
        <f aca="false">L26-K26</f>
        <v>8.729</v>
      </c>
      <c r="N26" s="23" t="s">
        <v>174</v>
      </c>
      <c r="O26" s="15" t="s">
        <v>202</v>
      </c>
      <c r="P26" s="15" t="n">
        <v>155</v>
      </c>
      <c r="Q26" s="18"/>
      <c r="R26" s="25" t="n">
        <f aca="false">IF(NOT(ISNUMBER(I26)),"",IF(F26="Mindestprognose",I26,IF(ISNUMBER(J26),(I26+J26)/2,I26)))</f>
        <v>75.5</v>
      </c>
      <c r="S26" s="25" t="n">
        <f aca="false">IF(OR(R26="",NOT(ISNUMBER(L26))),"",R26-L26)</f>
        <v>-11.827</v>
      </c>
      <c r="T26" s="19" t="n">
        <f aca="false">IF(OR(S26="",G26&lt;&gt;"absolut",NOT(ISNUMBER(L26)),L26=0),"",S26/ABS(L26))</f>
        <v>-0.135433485634454</v>
      </c>
      <c r="U26" s="19" t="n">
        <f aca="false">IF(T26="","",ABS(T26))</f>
        <v>0.135433485634454</v>
      </c>
      <c r="V26" s="20" t="n">
        <f aca="false">IF(OR(F26="Punkt",NOT(ISNUMBER(L26))),"",IF(F26="Mindestprognose",IF(L26&gt;=I26,1,0),IF(AND(ISNUMBER(I26),ISNUMBER(J26),I26&lt;&gt;J26),IF(AND(L26&gt;=I26,L26&lt;=J26),1,0),"")))</f>
        <v>0</v>
      </c>
      <c r="W26" s="18"/>
      <c r="X26" s="0" t="str">
        <f aca="false">IF(OR(F26="qualitativ",F26="fehlend",NOT(ISNUMBER(L26))),"nicht auswertbar",IF(F26="Punkt","Punktprognose",IF(AND(ISNUMBER(I26),ISNUMBER(J26),I26&lt;&gt;J26),IF(L26&lt;I26,"unterhalb",IF(L26&gt;J26,"oberhalb","innerhalb")),"nicht auswertbar")))</f>
        <v>oberhalb</v>
      </c>
      <c r="Y26" s="25" t="str">
        <f aca="false">IF(AND(ISNUMBER(S26),OR(G26="Marge %",G26="Wachstumsrate %")),ABS(S26),"")</f>
        <v/>
      </c>
      <c r="Z26" s="0" t="str">
        <f aca="false">IFERROR(VLOOKUP(A26,Unternehmen!$A:$D,4,FALSE()),"")</f>
        <v>Chemie</v>
      </c>
    </row>
    <row r="27" customFormat="false" ht="15" hidden="false" customHeight="true" outlineLevel="0" collapsed="false">
      <c r="A27" s="15" t="s">
        <v>18</v>
      </c>
      <c r="B27" s="15" t="n">
        <v>2022</v>
      </c>
      <c r="C27" s="15" t="s">
        <v>158</v>
      </c>
      <c r="D27" s="15" t="s">
        <v>201</v>
      </c>
      <c r="E27" s="15" t="n">
        <v>149</v>
      </c>
      <c r="F27" s="15" t="s">
        <v>183</v>
      </c>
      <c r="G27" s="15" t="s">
        <v>177</v>
      </c>
      <c r="H27" s="15" t="s">
        <v>184</v>
      </c>
      <c r="I27" s="17" t="n">
        <v>6.6</v>
      </c>
      <c r="J27" s="17" t="n">
        <v>7.2</v>
      </c>
      <c r="K27" s="17" t="n">
        <f aca="false">L25</f>
        <v>7.768</v>
      </c>
      <c r="L27" s="17" t="n">
        <v>6.878</v>
      </c>
      <c r="M27" s="17" t="n">
        <f aca="false">L27-K27</f>
        <v>-0.89</v>
      </c>
      <c r="N27" s="22" t="s">
        <v>164</v>
      </c>
      <c r="O27" s="15" t="s">
        <v>202</v>
      </c>
      <c r="P27" s="15" t="n">
        <v>155</v>
      </c>
      <c r="Q27" s="18"/>
      <c r="R27" s="25" t="n">
        <f aca="false">IF(NOT(ISNUMBER(I27)),"",IF(F27="Mindestprognose",I27,IF(ISNUMBER(J27),(I27+J27)/2,I27)))</f>
        <v>6.9</v>
      </c>
      <c r="S27" s="25" t="n">
        <f aca="false">IF(OR(R27="",NOT(ISNUMBER(L27))),"",R27-L27)</f>
        <v>0.0220000000000002</v>
      </c>
      <c r="T27" s="19" t="n">
        <f aca="false">IF(OR(S27="",G27&lt;&gt;"absolut",NOT(ISNUMBER(L27)),L27=0),"",S27/ABS(L27))</f>
        <v>0.00319860424542022</v>
      </c>
      <c r="U27" s="19" t="n">
        <f aca="false">IF(T27="","",ABS(T27))</f>
        <v>0.00319860424542022</v>
      </c>
      <c r="V27" s="20" t="n">
        <f aca="false">IF(OR(F27="Punkt",NOT(ISNUMBER(L27))),"",IF(F27="Mindestprognose",IF(L27&gt;=I27,1,0),IF(AND(ISNUMBER(I27),ISNUMBER(J27),I27&lt;&gt;J27),IF(AND(L27&gt;=I27,L27&lt;=J27),1,0),"")))</f>
        <v>1</v>
      </c>
      <c r="W27" s="18"/>
      <c r="X27" s="0" t="str">
        <f aca="false">IF(OR(F27="qualitativ",F27="fehlend",NOT(ISNUMBER(L27))),"nicht auswertbar",IF(F27="Punkt","Punktprognose",IF(AND(ISNUMBER(I27),ISNUMBER(J27),I27&lt;&gt;J27),IF(L27&lt;I27,"unterhalb",IF(L27&gt;J27,"oberhalb","innerhalb")),"nicht auswertbar")))</f>
        <v>innerhalb</v>
      </c>
      <c r="Y27" s="25" t="str">
        <f aca="false">IF(AND(ISNUMBER(S27),OR(G27="Marge %",G27="Wachstumsrate %")),ABS(S27),"")</f>
        <v/>
      </c>
      <c r="Z27" s="0" t="str">
        <f aca="false">IFERROR(VLOOKUP(A27,Unternehmen!$A:$D,4,FALSE()),"")</f>
        <v>Chemie</v>
      </c>
    </row>
    <row r="28" customFormat="false" ht="15" hidden="false" customHeight="true" outlineLevel="0" collapsed="false">
      <c r="A28" s="15" t="s">
        <v>18</v>
      </c>
      <c r="B28" s="15" t="n">
        <v>2023</v>
      </c>
      <c r="C28" s="15" t="s">
        <v>15</v>
      </c>
      <c r="D28" s="15" t="s">
        <v>202</v>
      </c>
      <c r="E28" s="15" t="n">
        <v>155</v>
      </c>
      <c r="F28" s="15" t="s">
        <v>183</v>
      </c>
      <c r="G28" s="15" t="s">
        <v>177</v>
      </c>
      <c r="H28" s="15" t="s">
        <v>184</v>
      </c>
      <c r="I28" s="17" t="n">
        <v>84</v>
      </c>
      <c r="J28" s="17" t="n">
        <v>87</v>
      </c>
      <c r="K28" s="17" t="n">
        <f aca="false">L26</f>
        <v>87.327</v>
      </c>
      <c r="L28" s="17" t="n">
        <v>68.902</v>
      </c>
      <c r="M28" s="17" t="n">
        <f aca="false">L28-K28</f>
        <v>-18.425</v>
      </c>
      <c r="N28" s="17" t="s">
        <v>203</v>
      </c>
      <c r="O28" s="15" t="s">
        <v>204</v>
      </c>
      <c r="P28" s="15" t="n">
        <v>250</v>
      </c>
      <c r="Q28" s="18"/>
      <c r="R28" s="25" t="n">
        <f aca="false">IF(NOT(ISNUMBER(I28)),"",IF(F28="Mindestprognose",I28,IF(ISNUMBER(J28),(I28+J28)/2,I28)))</f>
        <v>85.5</v>
      </c>
      <c r="S28" s="25" t="n">
        <f aca="false">IF(OR(R28="",NOT(ISNUMBER(L28))),"",R28-L28)</f>
        <v>16.598</v>
      </c>
      <c r="T28" s="19" t="n">
        <f aca="false">IF(OR(S28="",G28&lt;&gt;"absolut",NOT(ISNUMBER(L28)),L28=0),"",S28/ABS(L28))</f>
        <v>0.240892862326202</v>
      </c>
      <c r="U28" s="19" t="n">
        <f aca="false">IF(T28="","",ABS(T28))</f>
        <v>0.240892862326202</v>
      </c>
      <c r="V28" s="20" t="n">
        <f aca="false">IF(OR(F28="Punkt",NOT(ISNUMBER(L28))),"",IF(F28="Mindestprognose",IF(L28&gt;=I28,1,0),IF(AND(ISNUMBER(I28),ISNUMBER(J28),I28&lt;&gt;J28),IF(AND(L28&gt;=I28,L28&lt;=J28),1,0),"")))</f>
        <v>0</v>
      </c>
      <c r="W28" s="18"/>
      <c r="X28" s="0" t="str">
        <f aca="false">IF(OR(F28="qualitativ",F28="fehlend",NOT(ISNUMBER(L28))),"nicht auswertbar",IF(F28="Punkt","Punktprognose",IF(AND(ISNUMBER(I28),ISNUMBER(J28),I28&lt;&gt;J28),IF(L28&lt;I28,"unterhalb",IF(L28&gt;J28,"oberhalb","innerhalb")),"nicht auswertbar")))</f>
        <v>unterhalb</v>
      </c>
      <c r="Y28" s="25" t="str">
        <f aca="false">IF(AND(ISNUMBER(S28),OR(G28="Marge %",G28="Wachstumsrate %")),ABS(S28),"")</f>
        <v/>
      </c>
      <c r="Z28" s="0" t="str">
        <f aca="false">IFERROR(VLOOKUP(A28,Unternehmen!$A:$D,4,FALSE()),"")</f>
        <v>Chemie</v>
      </c>
    </row>
    <row r="29" customFormat="false" ht="15" hidden="false" customHeight="true" outlineLevel="0" collapsed="false">
      <c r="A29" s="15" t="s">
        <v>18</v>
      </c>
      <c r="B29" s="15" t="n">
        <v>2023</v>
      </c>
      <c r="C29" s="15" t="s">
        <v>158</v>
      </c>
      <c r="D29" s="15" t="s">
        <v>202</v>
      </c>
      <c r="E29" s="15" t="n">
        <v>155</v>
      </c>
      <c r="F29" s="15" t="s">
        <v>183</v>
      </c>
      <c r="G29" s="15" t="s">
        <v>177</v>
      </c>
      <c r="H29" s="15" t="s">
        <v>184</v>
      </c>
      <c r="I29" s="17" t="n">
        <v>4.8</v>
      </c>
      <c r="J29" s="17" t="n">
        <v>5.4</v>
      </c>
      <c r="K29" s="17" t="n">
        <f aca="false">L27</f>
        <v>6.878</v>
      </c>
      <c r="L29" s="17" t="n">
        <v>3.806</v>
      </c>
      <c r="M29" s="17" t="n">
        <f aca="false">L29-K29</f>
        <v>-3.072</v>
      </c>
      <c r="N29" s="17" t="s">
        <v>205</v>
      </c>
      <c r="O29" s="15" t="s">
        <v>204</v>
      </c>
      <c r="P29" s="15" t="n">
        <v>244</v>
      </c>
      <c r="Q29" s="18"/>
      <c r="R29" s="25" t="n">
        <f aca="false">IF(NOT(ISNUMBER(I29)),"",IF(F29="Mindestprognose",I29,IF(ISNUMBER(J29),(I29+J29)/2,I29)))</f>
        <v>5.1</v>
      </c>
      <c r="S29" s="25" t="n">
        <f aca="false">IF(OR(R29="",NOT(ISNUMBER(L29))),"",R29-L29)</f>
        <v>1.294</v>
      </c>
      <c r="T29" s="19" t="n">
        <f aca="false">IF(OR(S29="",G29&lt;&gt;"absolut",NOT(ISNUMBER(L29)),L29=0),"",S29/ABS(L29))</f>
        <v>0.339989490278508</v>
      </c>
      <c r="U29" s="19" t="n">
        <f aca="false">IF(T29="","",ABS(T29))</f>
        <v>0.339989490278508</v>
      </c>
      <c r="V29" s="20" t="n">
        <f aca="false">IF(OR(F29="Punkt",NOT(ISNUMBER(L29))),"",IF(F29="Mindestprognose",IF(L29&gt;=I29,1,0),IF(AND(ISNUMBER(I29),ISNUMBER(J29),I29&lt;&gt;J29),IF(AND(L29&gt;=I29,L29&lt;=J29),1,0),"")))</f>
        <v>0</v>
      </c>
      <c r="W29" s="18"/>
      <c r="X29" s="0" t="str">
        <f aca="false">IF(OR(F29="qualitativ",F29="fehlend",NOT(ISNUMBER(L29))),"nicht auswertbar",IF(F29="Punkt","Punktprognose",IF(AND(ISNUMBER(I29),ISNUMBER(J29),I29&lt;&gt;J29),IF(L29&lt;I29,"unterhalb",IF(L29&gt;J29,"oberhalb","innerhalb")),"nicht auswertbar")))</f>
        <v>unterhalb</v>
      </c>
      <c r="Y29" s="25" t="str">
        <f aca="false">IF(AND(ISNUMBER(S29),OR(G29="Marge %",G29="Wachstumsrate %")),ABS(S29),"")</f>
        <v/>
      </c>
      <c r="Z29" s="0" t="str">
        <f aca="false">IFERROR(VLOOKUP(A29,Unternehmen!$A:$D,4,FALSE()),"")</f>
        <v>Chemie</v>
      </c>
    </row>
    <row r="30" customFormat="false" ht="15" hidden="false" customHeight="true" outlineLevel="0" collapsed="false">
      <c r="A30" s="15" t="s">
        <v>18</v>
      </c>
      <c r="B30" s="15" t="n">
        <v>2024</v>
      </c>
      <c r="C30" s="15" t="s">
        <v>15</v>
      </c>
      <c r="D30" s="15" t="s">
        <v>204</v>
      </c>
      <c r="E30" s="28"/>
      <c r="F30" s="28" t="s">
        <v>206</v>
      </c>
      <c r="G30" s="28"/>
      <c r="H30" s="28"/>
      <c r="I30" s="24"/>
      <c r="J30" s="24"/>
      <c r="K30" s="24"/>
      <c r="L30" s="24"/>
      <c r="M30" s="24"/>
      <c r="N30" s="28"/>
      <c r="O30" s="28"/>
      <c r="P30" s="28"/>
      <c r="Q30" s="18" t="s">
        <v>207</v>
      </c>
      <c r="R30" s="25" t="str">
        <f aca="false">IF(NOT(ISNUMBER(I30)),"",IF(F30="Mindestprognose",I30,IF(ISNUMBER(J30),(I30+J30)/2,I30)))</f>
        <v/>
      </c>
      <c r="S30" s="25" t="str">
        <f aca="false">IF(OR(R30="",NOT(ISNUMBER(L30))),"",R30-L30)</f>
        <v/>
      </c>
      <c r="T30" s="19" t="str">
        <f aca="false">IF(OR(S30="",G30&lt;&gt;"absolut",NOT(ISNUMBER(L30)),L30=0),"",S30/ABS(L30))</f>
        <v/>
      </c>
      <c r="U30" s="19" t="str">
        <f aca="false">IF(T30="","",ABS(T30))</f>
        <v/>
      </c>
      <c r="V30" s="20" t="str">
        <f aca="false">IF(OR(F30="Punkt",NOT(ISNUMBER(L30))),"",IF(F30="Mindestprognose",IF(L30&gt;=I30,1,0),IF(AND(ISNUMBER(I30),ISNUMBER(J30),I30&lt;&gt;J30),IF(AND(L30&gt;=I30,L30&lt;=J30),1,0),"")))</f>
        <v/>
      </c>
      <c r="W30" s="18"/>
      <c r="X30" s="0" t="str">
        <f aca="false">IF(OR(F30="qualitativ",F30="fehlend",NOT(ISNUMBER(L30))),"nicht auswertbar",IF(F30="Punkt","Punktprognose",IF(AND(ISNUMBER(I30),ISNUMBER(J30),I30&lt;&gt;J30),IF(L30&lt;I30,"unterhalb",IF(L30&gt;J30,"oberhalb","innerhalb")),"nicht auswertbar")))</f>
        <v>nicht auswertbar</v>
      </c>
      <c r="Y30" s="25" t="str">
        <f aca="false">IF(AND(ISNUMBER(S30),OR(G30="Marge %",G30="Wachstumsrate %")),ABS(S30),"")</f>
        <v/>
      </c>
      <c r="Z30" s="0" t="str">
        <f aca="false">IFERROR(VLOOKUP(A30,Unternehmen!$A:$D,4,FALSE()),"")</f>
        <v>Chemie</v>
      </c>
    </row>
    <row r="31" customFormat="false" ht="15" hidden="false" customHeight="true" outlineLevel="0" collapsed="false">
      <c r="A31" s="15" t="s">
        <v>18</v>
      </c>
      <c r="B31" s="15" t="n">
        <v>2024</v>
      </c>
      <c r="C31" s="15" t="s">
        <v>158</v>
      </c>
      <c r="D31" s="15" t="s">
        <v>204</v>
      </c>
      <c r="E31" s="15" t="n">
        <v>170</v>
      </c>
      <c r="F31" s="15" t="s">
        <v>183</v>
      </c>
      <c r="G31" s="15" t="s">
        <v>177</v>
      </c>
      <c r="H31" s="15" t="s">
        <v>184</v>
      </c>
      <c r="I31" s="17" t="n">
        <v>8</v>
      </c>
      <c r="J31" s="17" t="n">
        <v>8.6</v>
      </c>
      <c r="K31" s="24"/>
      <c r="L31" s="17" t="n">
        <v>7.858</v>
      </c>
      <c r="M31" s="24"/>
      <c r="N31" s="17" t="s">
        <v>208</v>
      </c>
      <c r="O31" s="15" t="s">
        <v>209</v>
      </c>
      <c r="P31" s="15" t="n">
        <v>82</v>
      </c>
      <c r="Q31" s="18" t="s">
        <v>210</v>
      </c>
      <c r="R31" s="25" t="n">
        <f aca="false">IF(NOT(ISNUMBER(I31)),"",IF(F31="Mindestprognose",I31,IF(ISNUMBER(J31),(I31+J31)/2,I31)))</f>
        <v>8.3</v>
      </c>
      <c r="S31" s="25" t="n">
        <f aca="false">IF(OR(R31="",NOT(ISNUMBER(L31))),"",R31-L31)</f>
        <v>0.442000000000001</v>
      </c>
      <c r="T31" s="19" t="n">
        <f aca="false">IF(OR(S31="",G31&lt;&gt;"absolut",NOT(ISNUMBER(L31)),L31=0),"",S31/ABS(L31))</f>
        <v>0.056248409264444</v>
      </c>
      <c r="U31" s="19" t="n">
        <f aca="false">IF(T31="","",ABS(T31))</f>
        <v>0.056248409264444</v>
      </c>
      <c r="V31" s="20" t="n">
        <f aca="false">IF(OR(F31="Punkt",NOT(ISNUMBER(L31))),"",IF(F31="Mindestprognose",IF(L31&gt;=I31,1,0),IF(AND(ISNUMBER(I31),ISNUMBER(J31),I31&lt;&gt;J31),IF(AND(L31&gt;=I31,L31&lt;=J31),1,0),"")))</f>
        <v>0</v>
      </c>
      <c r="W31" s="18"/>
      <c r="X31" s="0" t="str">
        <f aca="false">IF(OR(F31="qualitativ",F31="fehlend",NOT(ISNUMBER(L31))),"nicht auswertbar",IF(F31="Punkt","Punktprognose",IF(AND(ISNUMBER(I31),ISNUMBER(J31),I31&lt;&gt;J31),IF(L31&lt;I31,"unterhalb",IF(L31&gt;J31,"oberhalb","innerhalb")),"nicht auswertbar")))</f>
        <v>unterhalb</v>
      </c>
      <c r="Y31" s="25" t="str">
        <f aca="false">IF(AND(ISNUMBER(S31),OR(G31="Marge %",G31="Wachstumsrate %")),ABS(S31),"")</f>
        <v/>
      </c>
      <c r="Z31" s="0" t="str">
        <f aca="false">IFERROR(VLOOKUP(A31,Unternehmen!$A:$D,4,FALSE()),"")</f>
        <v>Chemie</v>
      </c>
    </row>
    <row r="32" customFormat="false" ht="15" hidden="false" customHeight="true" outlineLevel="0" collapsed="false">
      <c r="A32" s="15" t="s">
        <v>22</v>
      </c>
      <c r="B32" s="15" t="n">
        <v>2020</v>
      </c>
      <c r="C32" s="15" t="s">
        <v>15</v>
      </c>
      <c r="D32" s="15" t="s">
        <v>211</v>
      </c>
      <c r="E32" s="15" t="n">
        <v>87</v>
      </c>
      <c r="F32" s="15" t="s">
        <v>183</v>
      </c>
      <c r="G32" s="15" t="s">
        <v>177</v>
      </c>
      <c r="H32" s="15" t="s">
        <v>184</v>
      </c>
      <c r="I32" s="17" t="n">
        <v>44</v>
      </c>
      <c r="J32" s="17" t="n">
        <v>45</v>
      </c>
      <c r="K32" s="17" t="n">
        <v>43.545</v>
      </c>
      <c r="L32" s="17" t="n">
        <v>41.4</v>
      </c>
      <c r="M32" s="17" t="n">
        <f aca="false">L32-K32</f>
        <v>-2.145</v>
      </c>
      <c r="N32" s="17" t="s">
        <v>212</v>
      </c>
      <c r="O32" s="15" t="s">
        <v>213</v>
      </c>
      <c r="P32" s="15" t="n">
        <v>2</v>
      </c>
      <c r="Q32" s="18"/>
      <c r="R32" s="25" t="n">
        <f aca="false">IF(NOT(ISNUMBER(I32)),"",IF(F32="Mindestprognose",I32,IF(ISNUMBER(J32),(I32+J32)/2,I32)))</f>
        <v>44.5</v>
      </c>
      <c r="S32" s="25" t="n">
        <f aca="false">IF(OR(R32="",NOT(ISNUMBER(L32))),"",R32-L32)</f>
        <v>3.1</v>
      </c>
      <c r="T32" s="19" t="n">
        <f aca="false">IF(OR(S32="",G32&lt;&gt;"absolut",NOT(ISNUMBER(L32)),L32=0),"",S32/ABS(L32))</f>
        <v>0.0748792270531401</v>
      </c>
      <c r="U32" s="19" t="n">
        <f aca="false">IF(T32="","",ABS(T32))</f>
        <v>0.0748792270531401</v>
      </c>
      <c r="V32" s="20" t="n">
        <f aca="false">IF(OR(F32="Punkt",NOT(ISNUMBER(L32))),"",IF(F32="Mindestprognose",IF(L32&gt;=I32,1,0),IF(AND(ISNUMBER(I32),ISNUMBER(J32),I32&lt;&gt;J32),IF(AND(L32&gt;=I32,L32&lt;=J32),1,0),"")))</f>
        <v>0</v>
      </c>
      <c r="W32" s="18"/>
      <c r="X32" s="0" t="str">
        <f aca="false">IF(OR(F32="qualitativ",F32="fehlend",NOT(ISNUMBER(L32))),"nicht auswertbar",IF(F32="Punkt","Punktprognose",IF(AND(ISNUMBER(I32),ISNUMBER(J32),I32&lt;&gt;J32),IF(L32&lt;I32,"unterhalb",IF(L32&gt;J32,"oberhalb","innerhalb")),"nicht auswertbar")))</f>
        <v>unterhalb</v>
      </c>
      <c r="Y32" s="25" t="str">
        <f aca="false">IF(AND(ISNUMBER(S32),OR(G32="Marge %",G32="Wachstumsrate %")),ABS(S32),"")</f>
        <v/>
      </c>
      <c r="Z32" s="0" t="str">
        <f aca="false">IFERROR(VLOOKUP(A32,Unternehmen!$A:$D,4,FALSE()),"")</f>
        <v>Pharma &amp; Healthcare</v>
      </c>
    </row>
    <row r="33" customFormat="false" ht="15" hidden="false" customHeight="true" outlineLevel="0" collapsed="false">
      <c r="A33" s="15" t="s">
        <v>22</v>
      </c>
      <c r="B33" s="15" t="n">
        <v>2020</v>
      </c>
      <c r="C33" s="15" t="s">
        <v>158</v>
      </c>
      <c r="D33" s="15" t="s">
        <v>211</v>
      </c>
      <c r="E33" s="15" t="n">
        <v>87</v>
      </c>
      <c r="F33" s="15" t="s">
        <v>183</v>
      </c>
      <c r="G33" s="15" t="s">
        <v>177</v>
      </c>
      <c r="H33" s="15" t="s">
        <v>184</v>
      </c>
      <c r="I33" s="17" t="n">
        <v>12.3</v>
      </c>
      <c r="J33" s="17" t="n">
        <v>12.6</v>
      </c>
      <c r="K33" s="17" t="n">
        <v>11.474</v>
      </c>
      <c r="L33" s="17" t="n">
        <v>11.461</v>
      </c>
      <c r="M33" s="17" t="n">
        <f aca="false">L33-K33</f>
        <v>-0.0129999999999999</v>
      </c>
      <c r="N33" s="17" t="s">
        <v>214</v>
      </c>
      <c r="O33" s="15" t="s">
        <v>213</v>
      </c>
      <c r="P33" s="15" t="n">
        <v>2</v>
      </c>
      <c r="Q33" s="18"/>
      <c r="R33" s="25" t="n">
        <f aca="false">IF(NOT(ISNUMBER(I33)),"",IF(F33="Mindestprognose",I33,IF(ISNUMBER(J33),(I33+J33)/2,I33)))</f>
        <v>12.45</v>
      </c>
      <c r="S33" s="25" t="n">
        <f aca="false">IF(OR(R33="",NOT(ISNUMBER(L33))),"",R33-L33)</f>
        <v>0.988999999999999</v>
      </c>
      <c r="T33" s="19" t="n">
        <f aca="false">IF(OR(S33="",G33&lt;&gt;"absolut",NOT(ISNUMBER(L33)),L33=0),"",S33/ABS(L33))</f>
        <v>0.0862926446208881</v>
      </c>
      <c r="U33" s="19" t="n">
        <f aca="false">IF(T33="","",ABS(T33))</f>
        <v>0.0862926446208881</v>
      </c>
      <c r="V33" s="20" t="n">
        <f aca="false">IF(OR(F33="Punkt",NOT(ISNUMBER(L33))),"",IF(F33="Mindestprognose",IF(L33&gt;=I33,1,0),IF(AND(ISNUMBER(I33),ISNUMBER(J33),I33&lt;&gt;J33),IF(AND(L33&gt;=I33,L33&lt;=J33),1,0),"")))</f>
        <v>0</v>
      </c>
      <c r="W33" s="18"/>
      <c r="X33" s="0" t="str">
        <f aca="false">IF(OR(F33="qualitativ",F33="fehlend",NOT(ISNUMBER(L33))),"nicht auswertbar",IF(F33="Punkt","Punktprognose",IF(AND(ISNUMBER(I33),ISNUMBER(J33),I33&lt;&gt;J33),IF(L33&lt;I33,"unterhalb",IF(L33&gt;J33,"oberhalb","innerhalb")),"nicht auswertbar")))</f>
        <v>unterhalb</v>
      </c>
      <c r="Y33" s="25" t="str">
        <f aca="false">IF(AND(ISNUMBER(S33),OR(G33="Marge %",G33="Wachstumsrate %")),ABS(S33),"")</f>
        <v/>
      </c>
      <c r="Z33" s="0" t="str">
        <f aca="false">IFERROR(VLOOKUP(A33,Unternehmen!$A:$D,4,FALSE()),"")</f>
        <v>Pharma &amp; Healthcare</v>
      </c>
    </row>
    <row r="34" customFormat="false" ht="15" hidden="false" customHeight="true" outlineLevel="0" collapsed="false">
      <c r="A34" s="15" t="s">
        <v>22</v>
      </c>
      <c r="B34" s="15" t="n">
        <v>2021</v>
      </c>
      <c r="C34" s="15" t="s">
        <v>15</v>
      </c>
      <c r="D34" s="15" t="s">
        <v>213</v>
      </c>
      <c r="E34" s="15" t="n">
        <v>101</v>
      </c>
      <c r="F34" s="15" t="s">
        <v>183</v>
      </c>
      <c r="G34" s="15" t="s">
        <v>177</v>
      </c>
      <c r="H34" s="15" t="s">
        <v>184</v>
      </c>
      <c r="I34" s="17" t="n">
        <v>42</v>
      </c>
      <c r="J34" s="17" t="n">
        <v>43</v>
      </c>
      <c r="K34" s="17" t="n">
        <f aca="false">L32</f>
        <v>41.4</v>
      </c>
      <c r="L34" s="17" t="n">
        <v>44.081</v>
      </c>
      <c r="M34" s="17" t="n">
        <f aca="false">L34-K34</f>
        <v>2.681</v>
      </c>
      <c r="N34" s="23" t="s">
        <v>174</v>
      </c>
      <c r="O34" s="15" t="s">
        <v>215</v>
      </c>
      <c r="P34" s="15" t="n">
        <v>2</v>
      </c>
      <c r="Q34" s="18"/>
      <c r="R34" s="25" t="n">
        <f aca="false">IF(NOT(ISNUMBER(I34)),"",IF(F34="Mindestprognose",I34,IF(ISNUMBER(J34),(I34+J34)/2,I34)))</f>
        <v>42.5</v>
      </c>
      <c r="S34" s="25" t="n">
        <f aca="false">IF(OR(R34="",NOT(ISNUMBER(L34))),"",R34-L34)</f>
        <v>-1.581</v>
      </c>
      <c r="T34" s="19" t="n">
        <f aca="false">IF(OR(S34="",G34&lt;&gt;"absolut",NOT(ISNUMBER(L34)),L34=0),"",S34/ABS(L34))</f>
        <v>-0.0358657925183186</v>
      </c>
      <c r="U34" s="19" t="n">
        <f aca="false">IF(T34="","",ABS(T34))</f>
        <v>0.0358657925183186</v>
      </c>
      <c r="V34" s="20" t="n">
        <f aca="false">IF(OR(F34="Punkt",NOT(ISNUMBER(L34))),"",IF(F34="Mindestprognose",IF(L34&gt;=I34,1,0),IF(AND(ISNUMBER(I34),ISNUMBER(J34),I34&lt;&gt;J34),IF(AND(L34&gt;=I34,L34&lt;=J34),1,0),"")))</f>
        <v>0</v>
      </c>
      <c r="W34" s="18"/>
      <c r="X34" s="0" t="str">
        <f aca="false">IF(OR(F34="qualitativ",F34="fehlend",NOT(ISNUMBER(L34))),"nicht auswertbar",IF(F34="Punkt","Punktprognose",IF(AND(ISNUMBER(I34),ISNUMBER(J34),I34&lt;&gt;J34),IF(L34&lt;I34,"unterhalb",IF(L34&gt;J34,"oberhalb","innerhalb")),"nicht auswertbar")))</f>
        <v>oberhalb</v>
      </c>
      <c r="Y34" s="25" t="str">
        <f aca="false">IF(AND(ISNUMBER(S34),OR(G34="Marge %",G34="Wachstumsrate %")),ABS(S34),"")</f>
        <v/>
      </c>
      <c r="Z34" s="0" t="str">
        <f aca="false">IFERROR(VLOOKUP(A34,Unternehmen!$A:$D,4,FALSE()),"")</f>
        <v>Pharma &amp; Healthcare</v>
      </c>
    </row>
    <row r="35" customFormat="false" ht="15" hidden="false" customHeight="true" outlineLevel="0" collapsed="false">
      <c r="A35" s="15" t="s">
        <v>22</v>
      </c>
      <c r="B35" s="15" t="n">
        <v>2021</v>
      </c>
      <c r="C35" s="15" t="s">
        <v>158</v>
      </c>
      <c r="D35" s="15" t="s">
        <v>213</v>
      </c>
      <c r="E35" s="15" t="n">
        <v>101</v>
      </c>
      <c r="F35" s="15" t="s">
        <v>176</v>
      </c>
      <c r="G35" s="15" t="s">
        <v>159</v>
      </c>
      <c r="H35" s="15" t="s">
        <v>160</v>
      </c>
      <c r="I35" s="16" t="n">
        <v>0.27</v>
      </c>
      <c r="J35" s="16" t="n">
        <v>0.27</v>
      </c>
      <c r="K35" s="16" t="n">
        <v>0.277</v>
      </c>
      <c r="L35" s="16" t="n">
        <v>0.254</v>
      </c>
      <c r="M35" s="16" t="s">
        <v>216</v>
      </c>
      <c r="N35" s="17" t="s">
        <v>217</v>
      </c>
      <c r="O35" s="15" t="s">
        <v>215</v>
      </c>
      <c r="P35" s="15" t="n">
        <v>2</v>
      </c>
      <c r="Q35" s="18"/>
      <c r="R35" s="19" t="n">
        <f aca="false">IF(NOT(ISNUMBER(I35)),"",IF(F35="Mindestprognose",I35,IF(ISNUMBER(J35),(I35+J35)/2,I35)))</f>
        <v>0.27</v>
      </c>
      <c r="S35" s="19" t="n">
        <f aca="false">IF(OR(R35="",NOT(ISNUMBER(L35))),"",R35-L35)</f>
        <v>0.016</v>
      </c>
      <c r="T35" s="19" t="str">
        <f aca="false">IF(OR(S35="",G35&lt;&gt;"absolut",NOT(ISNUMBER(L35)),L35=0),"",S35/ABS(L35))</f>
        <v/>
      </c>
      <c r="U35" s="19" t="str">
        <f aca="false">IF(T35="","",ABS(T35))</f>
        <v/>
      </c>
      <c r="V35" s="20" t="str">
        <f aca="false">IF(OR(F35="Punkt",NOT(ISNUMBER(L35))),"",IF(F35="Mindestprognose",IF(L35&gt;=I35,1,0),IF(AND(ISNUMBER(I35),ISNUMBER(J35),I35&lt;&gt;J35),IF(AND(L35&gt;=I35,L35&lt;=J35),1,0),"")))</f>
        <v/>
      </c>
      <c r="W35" s="18"/>
      <c r="X35" s="0" t="str">
        <f aca="false">IF(OR(F35="qualitativ",F35="fehlend",NOT(ISNUMBER(L35))),"nicht auswertbar",IF(F35="Punkt","Punktprognose",IF(AND(ISNUMBER(I35),ISNUMBER(J35),I35&lt;&gt;J35),IF(L35&lt;I35,"unterhalb",IF(L35&gt;J35,"oberhalb","innerhalb")),"nicht auswertbar")))</f>
        <v>Punktprognose</v>
      </c>
      <c r="Y35" s="19" t="n">
        <f aca="false">IF(AND(ISNUMBER(S35),OR(G35="Marge %",G35="Wachstumsrate %")),ABS(S35),"")</f>
        <v>0.016</v>
      </c>
      <c r="Z35" s="0" t="str">
        <f aca="false">IFERROR(VLOOKUP(A35,Unternehmen!$A:$D,4,FALSE()),"")</f>
        <v>Pharma &amp; Healthcare</v>
      </c>
    </row>
    <row r="36" customFormat="false" ht="15" hidden="false" customHeight="true" outlineLevel="0" collapsed="false">
      <c r="A36" s="15" t="s">
        <v>22</v>
      </c>
      <c r="B36" s="15" t="n">
        <v>2022</v>
      </c>
      <c r="C36" s="15" t="s">
        <v>15</v>
      </c>
      <c r="D36" s="15" t="s">
        <v>215</v>
      </c>
      <c r="E36" s="15" t="n">
        <v>99</v>
      </c>
      <c r="F36" s="15" t="s">
        <v>176</v>
      </c>
      <c r="G36" s="15" t="s">
        <v>177</v>
      </c>
      <c r="H36" s="15" t="s">
        <v>184</v>
      </c>
      <c r="I36" s="17" t="n">
        <v>46</v>
      </c>
      <c r="J36" s="17" t="n">
        <v>46</v>
      </c>
      <c r="K36" s="17" t="n">
        <f aca="false">L34</f>
        <v>44.081</v>
      </c>
      <c r="L36" s="17" t="n">
        <v>50.739</v>
      </c>
      <c r="M36" s="17" t="n">
        <f aca="false">L36-K36</f>
        <v>6.65799999999999</v>
      </c>
      <c r="N36" s="23" t="s">
        <v>174</v>
      </c>
      <c r="O36" s="15" t="s">
        <v>218</v>
      </c>
      <c r="P36" s="15" t="n">
        <v>2</v>
      </c>
      <c r="Q36" s="18"/>
      <c r="R36" s="25" t="n">
        <f aca="false">IF(NOT(ISNUMBER(I36)),"",IF(F36="Mindestprognose",I36,IF(ISNUMBER(J36),(I36+J36)/2,I36)))</f>
        <v>46</v>
      </c>
      <c r="S36" s="25" t="n">
        <f aca="false">IF(OR(R36="",NOT(ISNUMBER(L36))),"",R36-L36)</f>
        <v>-4.739</v>
      </c>
      <c r="T36" s="19" t="n">
        <f aca="false">IF(OR(S36="",G36&lt;&gt;"absolut",NOT(ISNUMBER(L36)),L36=0),"",S36/ABS(L36))</f>
        <v>-0.0933995545832594</v>
      </c>
      <c r="U36" s="19" t="n">
        <f aca="false">IF(T36="","",ABS(T36))</f>
        <v>0.0933995545832594</v>
      </c>
      <c r="V36" s="20" t="str">
        <f aca="false">IF(OR(F36="Punkt",NOT(ISNUMBER(L36))),"",IF(F36="Mindestprognose",IF(L36&gt;=I36,1,0),IF(AND(ISNUMBER(I36),ISNUMBER(J36),I36&lt;&gt;J36),IF(AND(L36&gt;=I36,L36&lt;=J36),1,0),"")))</f>
        <v/>
      </c>
      <c r="W36" s="18"/>
      <c r="X36" s="0" t="str">
        <f aca="false">IF(OR(F36="qualitativ",F36="fehlend",NOT(ISNUMBER(L36))),"nicht auswertbar",IF(F36="Punkt","Punktprognose",IF(AND(ISNUMBER(I36),ISNUMBER(J36),I36&lt;&gt;J36),IF(L36&lt;I36,"unterhalb",IF(L36&gt;J36,"oberhalb","innerhalb")),"nicht auswertbar")))</f>
        <v>Punktprognose</v>
      </c>
      <c r="Y36" s="25" t="str">
        <f aca="false">IF(AND(ISNUMBER(S36),OR(G36="Marge %",G36="Wachstumsrate %")),ABS(S36),"")</f>
        <v/>
      </c>
      <c r="Z36" s="0" t="str">
        <f aca="false">IFERROR(VLOOKUP(A36,Unternehmen!$A:$D,4,FALSE()),"")</f>
        <v>Pharma &amp; Healthcare</v>
      </c>
    </row>
    <row r="37" customFormat="false" ht="15" hidden="false" customHeight="true" outlineLevel="0" collapsed="false">
      <c r="A37" s="15" t="s">
        <v>22</v>
      </c>
      <c r="B37" s="15" t="n">
        <v>2022</v>
      </c>
      <c r="C37" s="15" t="s">
        <v>158</v>
      </c>
      <c r="D37" s="15" t="s">
        <v>215</v>
      </c>
      <c r="E37" s="15" t="n">
        <v>99</v>
      </c>
      <c r="F37" s="15" t="s">
        <v>176</v>
      </c>
      <c r="G37" s="15" t="s">
        <v>159</v>
      </c>
      <c r="H37" s="15" t="s">
        <v>160</v>
      </c>
      <c r="I37" s="16" t="n">
        <v>0.26</v>
      </c>
      <c r="J37" s="16" t="n">
        <v>0.26</v>
      </c>
      <c r="K37" s="16" t="n">
        <f aca="false">L35</f>
        <v>0.254</v>
      </c>
      <c r="L37" s="16" t="n">
        <v>0.266</v>
      </c>
      <c r="M37" s="16" t="s">
        <v>219</v>
      </c>
      <c r="N37" s="23" t="s">
        <v>174</v>
      </c>
      <c r="O37" s="15" t="s">
        <v>218</v>
      </c>
      <c r="P37" s="15" t="n">
        <v>2</v>
      </c>
      <c r="Q37" s="18"/>
      <c r="R37" s="19" t="n">
        <f aca="false">IF(NOT(ISNUMBER(I37)),"",IF(F37="Mindestprognose",I37,IF(ISNUMBER(J37),(I37+J37)/2,I37)))</f>
        <v>0.26</v>
      </c>
      <c r="S37" s="19" t="n">
        <f aca="false">IF(OR(R37="",NOT(ISNUMBER(L37))),"",R37-L37)</f>
        <v>-0.00600000000000001</v>
      </c>
      <c r="T37" s="19" t="str">
        <f aca="false">IF(OR(S37="",G37&lt;&gt;"absolut",NOT(ISNUMBER(L37)),L37=0),"",S37/ABS(L37))</f>
        <v/>
      </c>
      <c r="U37" s="19" t="str">
        <f aca="false">IF(T37="","",ABS(T37))</f>
        <v/>
      </c>
      <c r="V37" s="20" t="str">
        <f aca="false">IF(OR(F37="Punkt",NOT(ISNUMBER(L37))),"",IF(F37="Mindestprognose",IF(L37&gt;=I37,1,0),IF(AND(ISNUMBER(I37),ISNUMBER(J37),I37&lt;&gt;J37),IF(AND(L37&gt;=I37,L37&lt;=J37),1,0),"")))</f>
        <v/>
      </c>
      <c r="W37" s="18"/>
      <c r="X37" s="0" t="str">
        <f aca="false">IF(OR(F37="qualitativ",F37="fehlend",NOT(ISNUMBER(L37))),"nicht auswertbar",IF(F37="Punkt","Punktprognose",IF(AND(ISNUMBER(I37),ISNUMBER(J37),I37&lt;&gt;J37),IF(L37&lt;I37,"unterhalb",IF(L37&gt;J37,"oberhalb","innerhalb")),"nicht auswertbar")))</f>
        <v>Punktprognose</v>
      </c>
      <c r="Y37" s="19" t="n">
        <f aca="false">IF(AND(ISNUMBER(S37),OR(G37="Marge %",G37="Wachstumsrate %")),ABS(S37),"")</f>
        <v>0.00600000000000001</v>
      </c>
      <c r="Z37" s="0" t="str">
        <f aca="false">IFERROR(VLOOKUP(A37,Unternehmen!$A:$D,4,FALSE()),"")</f>
        <v>Pharma &amp; Healthcare</v>
      </c>
    </row>
    <row r="38" customFormat="false" ht="15" hidden="false" customHeight="true" outlineLevel="0" collapsed="false">
      <c r="A38" s="15" t="s">
        <v>22</v>
      </c>
      <c r="B38" s="15" t="n">
        <v>2023</v>
      </c>
      <c r="C38" s="15" t="s">
        <v>15</v>
      </c>
      <c r="D38" s="15" t="s">
        <v>218</v>
      </c>
      <c r="E38" s="15" t="n">
        <v>112</v>
      </c>
      <c r="F38" s="15" t="s">
        <v>183</v>
      </c>
      <c r="G38" s="15" t="s">
        <v>177</v>
      </c>
      <c r="H38" s="15" t="s">
        <v>184</v>
      </c>
      <c r="I38" s="17" t="n">
        <v>50</v>
      </c>
      <c r="J38" s="17" t="n">
        <v>51</v>
      </c>
      <c r="K38" s="17" t="n">
        <f aca="false">L36</f>
        <v>50.739</v>
      </c>
      <c r="L38" s="17" t="n">
        <v>47.637</v>
      </c>
      <c r="M38" s="17" t="n">
        <f aca="false">L38-K38</f>
        <v>-3.102</v>
      </c>
      <c r="N38" s="17" t="s">
        <v>220</v>
      </c>
      <c r="O38" s="15" t="s">
        <v>221</v>
      </c>
      <c r="P38" s="15" t="n">
        <v>2</v>
      </c>
      <c r="Q38" s="18"/>
      <c r="R38" s="25" t="n">
        <f aca="false">IF(NOT(ISNUMBER(I38)),"",IF(F38="Mindestprognose",I38,IF(ISNUMBER(J38),(I38+J38)/2,I38)))</f>
        <v>50.5</v>
      </c>
      <c r="S38" s="25" t="n">
        <f aca="false">IF(OR(R38="",NOT(ISNUMBER(L38))),"",R38-L38)</f>
        <v>2.863</v>
      </c>
      <c r="T38" s="19" t="n">
        <f aca="false">IF(OR(S38="",G38&lt;&gt;"absolut",NOT(ISNUMBER(L38)),L38=0),"",S38/ABS(L38))</f>
        <v>0.0601003421710015</v>
      </c>
      <c r="U38" s="19" t="n">
        <f aca="false">IF(T38="","",ABS(T38))</f>
        <v>0.0601003421710015</v>
      </c>
      <c r="V38" s="20" t="n">
        <f aca="false">IF(OR(F38="Punkt",NOT(ISNUMBER(L38))),"",IF(F38="Mindestprognose",IF(L38&gt;=I38,1,0),IF(AND(ISNUMBER(I38),ISNUMBER(J38),I38&lt;&gt;J38),IF(AND(L38&gt;=I38,L38&lt;=J38),1,0),"")))</f>
        <v>0</v>
      </c>
      <c r="W38" s="18"/>
      <c r="X38" s="0" t="str">
        <f aca="false">IF(OR(F38="qualitativ",F38="fehlend",NOT(ISNUMBER(L38))),"nicht auswertbar",IF(F38="Punkt","Punktprognose",IF(AND(ISNUMBER(I38),ISNUMBER(J38),I38&lt;&gt;J38),IF(L38&lt;I38,"unterhalb",IF(L38&gt;J38,"oberhalb","innerhalb")),"nicht auswertbar")))</f>
        <v>unterhalb</v>
      </c>
      <c r="Y38" s="25" t="str">
        <f aca="false">IF(AND(ISNUMBER(S38),OR(G38="Marge %",G38="Wachstumsrate %")),ABS(S38),"")</f>
        <v/>
      </c>
      <c r="Z38" s="0" t="str">
        <f aca="false">IFERROR(VLOOKUP(A38,Unternehmen!$A:$D,4,FALSE()),"")</f>
        <v>Pharma &amp; Healthcare</v>
      </c>
    </row>
    <row r="39" customFormat="false" ht="15" hidden="false" customHeight="true" outlineLevel="0" collapsed="false">
      <c r="A39" s="15" t="s">
        <v>22</v>
      </c>
      <c r="B39" s="15" t="n">
        <v>2023</v>
      </c>
      <c r="C39" s="15" t="s">
        <v>158</v>
      </c>
      <c r="D39" s="15" t="s">
        <v>218</v>
      </c>
      <c r="E39" s="15" t="n">
        <v>112</v>
      </c>
      <c r="F39" s="15" t="s">
        <v>183</v>
      </c>
      <c r="G39" s="15" t="s">
        <v>177</v>
      </c>
      <c r="H39" s="15" t="s">
        <v>184</v>
      </c>
      <c r="I39" s="17" t="n">
        <v>12.5</v>
      </c>
      <c r="J39" s="17" t="n">
        <v>13</v>
      </c>
      <c r="K39" s="17" t="n">
        <v>13.5</v>
      </c>
      <c r="L39" s="17" t="n">
        <v>11.706</v>
      </c>
      <c r="M39" s="17" t="n">
        <f aca="false">L39-K39</f>
        <v>-1.794</v>
      </c>
      <c r="N39" s="17" t="s">
        <v>222</v>
      </c>
      <c r="O39" s="15" t="s">
        <v>221</v>
      </c>
      <c r="P39" s="15" t="n">
        <v>2</v>
      </c>
      <c r="Q39" s="18"/>
      <c r="R39" s="25" t="n">
        <f aca="false">IF(NOT(ISNUMBER(I39)),"",IF(F39="Mindestprognose",I39,IF(ISNUMBER(J39),(I39+J39)/2,I39)))</f>
        <v>12.75</v>
      </c>
      <c r="S39" s="25" t="n">
        <f aca="false">IF(OR(R39="",NOT(ISNUMBER(L39))),"",R39-L39)</f>
        <v>1.044</v>
      </c>
      <c r="T39" s="19" t="n">
        <f aca="false">IF(OR(S39="",G39&lt;&gt;"absolut",NOT(ISNUMBER(L39)),L39=0),"",S39/ABS(L39))</f>
        <v>0.0891850333162481</v>
      </c>
      <c r="U39" s="19" t="n">
        <f aca="false">IF(T39="","",ABS(T39))</f>
        <v>0.0891850333162481</v>
      </c>
      <c r="V39" s="20" t="n">
        <f aca="false">IF(OR(F39="Punkt",NOT(ISNUMBER(L39))),"",IF(F39="Mindestprognose",IF(L39&gt;=I39,1,0),IF(AND(ISNUMBER(I39),ISNUMBER(J39),I39&lt;&gt;J39),IF(AND(L39&gt;=I39,L39&lt;=J39),1,0),"")))</f>
        <v>0</v>
      </c>
      <c r="W39" s="18"/>
      <c r="X39" s="0" t="str">
        <f aca="false">IF(OR(F39="qualitativ",F39="fehlend",NOT(ISNUMBER(L39))),"nicht auswertbar",IF(F39="Punkt","Punktprognose",IF(AND(ISNUMBER(I39),ISNUMBER(J39),I39&lt;&gt;J39),IF(L39&lt;I39,"unterhalb",IF(L39&gt;J39,"oberhalb","innerhalb")),"nicht auswertbar")))</f>
        <v>unterhalb</v>
      </c>
      <c r="Y39" s="25" t="str">
        <f aca="false">IF(AND(ISNUMBER(S39),OR(G39="Marge %",G39="Wachstumsrate %")),ABS(S39),"")</f>
        <v/>
      </c>
      <c r="Z39" s="0" t="str">
        <f aca="false">IFERROR(VLOOKUP(A39,Unternehmen!$A:$D,4,FALSE()),"")</f>
        <v>Pharma &amp; Healthcare</v>
      </c>
    </row>
    <row r="40" customFormat="false" ht="15" hidden="false" customHeight="true" outlineLevel="0" collapsed="false">
      <c r="A40" s="15" t="s">
        <v>22</v>
      </c>
      <c r="B40" s="15" t="n">
        <v>2024</v>
      </c>
      <c r="C40" s="15" t="s">
        <v>15</v>
      </c>
      <c r="D40" s="15" t="s">
        <v>221</v>
      </c>
      <c r="E40" s="15" t="n">
        <v>101</v>
      </c>
      <c r="F40" s="15" t="s">
        <v>183</v>
      </c>
      <c r="G40" s="15" t="s">
        <v>177</v>
      </c>
      <c r="H40" s="15" t="s">
        <v>184</v>
      </c>
      <c r="I40" s="17" t="n">
        <v>46</v>
      </c>
      <c r="J40" s="17" t="n">
        <v>48</v>
      </c>
      <c r="K40" s="17" t="n">
        <f aca="false">L38</f>
        <v>47.637</v>
      </c>
      <c r="L40" s="17" t="n">
        <v>46.606</v>
      </c>
      <c r="M40" s="17" t="n">
        <f aca="false">L40-K40</f>
        <v>-1.031</v>
      </c>
      <c r="N40" s="22" t="s">
        <v>164</v>
      </c>
      <c r="O40" s="15" t="s">
        <v>223</v>
      </c>
      <c r="P40" s="15" t="n">
        <v>2</v>
      </c>
      <c r="Q40" s="18"/>
      <c r="R40" s="25" t="n">
        <f aca="false">IF(NOT(ISNUMBER(I40)),"",IF(F40="Mindestprognose",I40,IF(ISNUMBER(J40),(I40+J40)/2,I40)))</f>
        <v>47</v>
      </c>
      <c r="S40" s="25" t="n">
        <f aca="false">IF(OR(R40="",NOT(ISNUMBER(L40))),"",R40-L40)</f>
        <v>0.393999999999998</v>
      </c>
      <c r="T40" s="19" t="n">
        <f aca="false">IF(OR(S40="",G40&lt;&gt;"absolut",NOT(ISNUMBER(L40)),L40=0),"",S40/ABS(L40))</f>
        <v>0.0084538471441445</v>
      </c>
      <c r="U40" s="19" t="n">
        <f aca="false">IF(T40="","",ABS(T40))</f>
        <v>0.0084538471441445</v>
      </c>
      <c r="V40" s="20" t="n">
        <f aca="false">IF(OR(F40="Punkt",NOT(ISNUMBER(L40))),"",IF(F40="Mindestprognose",IF(L40&gt;=I40,1,0),IF(AND(ISNUMBER(I40),ISNUMBER(J40),I40&lt;&gt;J40),IF(AND(L40&gt;=I40,L40&lt;=J40),1,0),"")))</f>
        <v>1</v>
      </c>
      <c r="W40" s="18"/>
      <c r="X40" s="0" t="str">
        <f aca="false">IF(OR(F40="qualitativ",F40="fehlend",NOT(ISNUMBER(L40))),"nicht auswertbar",IF(F40="Punkt","Punktprognose",IF(AND(ISNUMBER(I40),ISNUMBER(J40),I40&lt;&gt;J40),IF(L40&lt;I40,"unterhalb",IF(L40&gt;J40,"oberhalb","innerhalb")),"nicht auswertbar")))</f>
        <v>innerhalb</v>
      </c>
      <c r="Y40" s="25" t="str">
        <f aca="false">IF(AND(ISNUMBER(S40),OR(G40="Marge %",G40="Wachstumsrate %")),ABS(S40),"")</f>
        <v/>
      </c>
      <c r="Z40" s="0" t="str">
        <f aca="false">IFERROR(VLOOKUP(A40,Unternehmen!$A:$D,4,FALSE()),"")</f>
        <v>Pharma &amp; Healthcare</v>
      </c>
    </row>
    <row r="41" customFormat="false" ht="15" hidden="false" customHeight="true" outlineLevel="0" collapsed="false">
      <c r="A41" s="15" t="s">
        <v>22</v>
      </c>
      <c r="B41" s="15" t="n">
        <v>2024</v>
      </c>
      <c r="C41" s="15" t="s">
        <v>158</v>
      </c>
      <c r="D41" s="15" t="s">
        <v>221</v>
      </c>
      <c r="E41" s="15" t="n">
        <v>101</v>
      </c>
      <c r="F41" s="15" t="s">
        <v>183</v>
      </c>
      <c r="G41" s="15" t="s">
        <v>177</v>
      </c>
      <c r="H41" s="15" t="s">
        <v>184</v>
      </c>
      <c r="I41" s="17" t="n">
        <v>10.4</v>
      </c>
      <c r="J41" s="17" t="n">
        <v>11</v>
      </c>
      <c r="K41" s="17" t="n">
        <f aca="false">L39</f>
        <v>11.706</v>
      </c>
      <c r="L41" s="17" t="n">
        <v>10.123</v>
      </c>
      <c r="M41" s="17" t="n">
        <f aca="false">L41-K41</f>
        <v>-1.583</v>
      </c>
      <c r="N41" s="17" t="s">
        <v>224</v>
      </c>
      <c r="O41" s="15" t="s">
        <v>223</v>
      </c>
      <c r="P41" s="15" t="n">
        <v>2</v>
      </c>
      <c r="Q41" s="18"/>
      <c r="R41" s="25" t="n">
        <f aca="false">IF(NOT(ISNUMBER(I41)),"",IF(F41="Mindestprognose",I41,IF(ISNUMBER(J41),(I41+J41)/2,I41)))</f>
        <v>10.7</v>
      </c>
      <c r="S41" s="25" t="n">
        <f aca="false">IF(OR(R41="",NOT(ISNUMBER(L41))),"",R41-L41)</f>
        <v>0.577</v>
      </c>
      <c r="T41" s="19" t="n">
        <f aca="false">IF(OR(S41="",G41&lt;&gt;"absolut",NOT(ISNUMBER(L41)),L41=0),"",S41/ABS(L41))</f>
        <v>0.0569989133656031</v>
      </c>
      <c r="U41" s="19" t="n">
        <f aca="false">IF(T41="","",ABS(T41))</f>
        <v>0.0569989133656031</v>
      </c>
      <c r="V41" s="20" t="n">
        <f aca="false">IF(OR(F41="Punkt",NOT(ISNUMBER(L41))),"",IF(F41="Mindestprognose",IF(L41&gt;=I41,1,0),IF(AND(ISNUMBER(I41),ISNUMBER(J41),I41&lt;&gt;J41),IF(AND(L41&gt;=I41,L41&lt;=J41),1,0),"")))</f>
        <v>0</v>
      </c>
      <c r="W41" s="18"/>
      <c r="X41" s="0" t="str">
        <f aca="false">IF(OR(F41="qualitativ",F41="fehlend",NOT(ISNUMBER(L41))),"nicht auswertbar",IF(F41="Punkt","Punktprognose",IF(AND(ISNUMBER(I41),ISNUMBER(J41),I41&lt;&gt;J41),IF(L41&lt;I41,"unterhalb",IF(L41&gt;J41,"oberhalb","innerhalb")),"nicht auswertbar")))</f>
        <v>unterhalb</v>
      </c>
      <c r="Y41" s="25" t="str">
        <f aca="false">IF(AND(ISNUMBER(S41),OR(G41="Marge %",G41="Wachstumsrate %")),ABS(S41),"")</f>
        <v/>
      </c>
      <c r="Z41" s="0" t="str">
        <f aca="false">IFERROR(VLOOKUP(A41,Unternehmen!$A:$D,4,FALSE()),"")</f>
        <v>Pharma &amp; Healthcare</v>
      </c>
    </row>
    <row r="42" customFormat="false" ht="15" hidden="false" customHeight="true" outlineLevel="0" collapsed="false">
      <c r="A42" s="15" t="s">
        <v>27</v>
      </c>
      <c r="B42" s="15" t="n">
        <v>2020</v>
      </c>
      <c r="C42" s="15" t="s">
        <v>15</v>
      </c>
      <c r="D42" s="15" t="n">
        <v>2019</v>
      </c>
      <c r="E42" s="15" t="n">
        <v>60</v>
      </c>
      <c r="F42" s="15" t="s">
        <v>153</v>
      </c>
      <c r="G42" s="15" t="s">
        <v>154</v>
      </c>
      <c r="H42" s="15" t="s">
        <v>155</v>
      </c>
      <c r="I42" s="16" t="n">
        <v>0.03</v>
      </c>
      <c r="J42" s="16" t="n">
        <v>0.05</v>
      </c>
      <c r="K42" s="16" t="n">
        <v>0.041</v>
      </c>
      <c r="L42" s="16" t="n">
        <v>-0.057</v>
      </c>
      <c r="M42" s="16" t="s">
        <v>225</v>
      </c>
      <c r="N42" s="17" t="s">
        <v>226</v>
      </c>
      <c r="O42" s="15" t="n">
        <v>2020</v>
      </c>
      <c r="P42" s="15" t="s">
        <v>227</v>
      </c>
      <c r="Q42" s="18"/>
      <c r="R42" s="19" t="n">
        <f aca="false">IF(NOT(ISNUMBER(I42)),"",IF(F42="Mindestprognose",I42,IF(ISNUMBER(J42),(I42+J42)/2,I42)))</f>
        <v>0.04</v>
      </c>
      <c r="S42" s="19" t="n">
        <f aca="false">IF(OR(R42="",NOT(ISNUMBER(L42))),"",R42-L42)</f>
        <v>0.097</v>
      </c>
      <c r="T42" s="19" t="str">
        <f aca="false">IF(OR(S42="",G42&lt;&gt;"absolut",NOT(ISNUMBER(L42)),L42=0),"",S42/ABS(L42))</f>
        <v/>
      </c>
      <c r="U42" s="19" t="str">
        <f aca="false">IF(T42="","",ABS(T42))</f>
        <v/>
      </c>
      <c r="V42" s="20" t="n">
        <f aca="false">IF(OR(F42="Punkt",NOT(ISNUMBER(L42))),"",IF(F42="Mindestprognose",IF(L42&gt;=I42,1,0),IF(AND(ISNUMBER(I42),ISNUMBER(J42),I42&lt;&gt;J42),IF(AND(L42&gt;=I42,L42&lt;=J42),1,0),"")))</f>
        <v>0</v>
      </c>
      <c r="W42" s="18"/>
      <c r="X42" s="0" t="str">
        <f aca="false">IF(OR(F42="qualitativ",F42="fehlend",NOT(ISNUMBER(L42))),"nicht auswertbar",IF(F42="Punkt","Punktprognose",IF(AND(ISNUMBER(I42),ISNUMBER(J42),I42&lt;&gt;J42),IF(L42&lt;I42,"unterhalb",IF(L42&gt;J42,"oberhalb","innerhalb")),"nicht auswertbar")))</f>
        <v>unterhalb</v>
      </c>
      <c r="Y42" s="19" t="n">
        <f aca="false">IF(AND(ISNUMBER(S42),OR(G42="Marge %",G42="Wachstumsrate %")),ABS(S42),"")</f>
        <v>0.097</v>
      </c>
      <c r="Z42" s="0" t="str">
        <f aca="false">IFERROR(VLOOKUP(A42,Unternehmen!$A:$D,4,FALSE()),"")</f>
        <v>Konsumgueter</v>
      </c>
    </row>
    <row r="43" customFormat="false" ht="15" hidden="false" customHeight="true" outlineLevel="0" collapsed="false">
      <c r="A43" s="15" t="s">
        <v>27</v>
      </c>
      <c r="B43" s="15" t="n">
        <v>2020</v>
      </c>
      <c r="C43" s="15" t="s">
        <v>158</v>
      </c>
      <c r="D43" s="15" t="n">
        <v>2019</v>
      </c>
      <c r="E43" s="15" t="n">
        <v>60</v>
      </c>
      <c r="F43" s="15" t="s">
        <v>153</v>
      </c>
      <c r="G43" s="15" t="s">
        <v>159</v>
      </c>
      <c r="H43" s="15" t="s">
        <v>160</v>
      </c>
      <c r="I43" s="16" t="n">
        <v>0.14</v>
      </c>
      <c r="J43" s="16" t="n">
        <v>0.145</v>
      </c>
      <c r="K43" s="16" t="n">
        <v>0.135</v>
      </c>
      <c r="L43" s="16" t="n">
        <v>0.118</v>
      </c>
      <c r="M43" s="16" t="s">
        <v>228</v>
      </c>
      <c r="N43" s="17" t="s">
        <v>229</v>
      </c>
      <c r="O43" s="15" t="n">
        <v>2020</v>
      </c>
      <c r="P43" s="15" t="s">
        <v>227</v>
      </c>
      <c r="Q43" s="18"/>
      <c r="R43" s="19" t="n">
        <f aca="false">IF(NOT(ISNUMBER(I43)),"",IF(F43="Mindestprognose",I43,IF(ISNUMBER(J43),(I43+J43)/2,I43)))</f>
        <v>0.1425</v>
      </c>
      <c r="S43" s="19" t="n">
        <f aca="false">IF(OR(R43="",NOT(ISNUMBER(L43))),"",R43-L43)</f>
        <v>0.0245</v>
      </c>
      <c r="T43" s="19" t="str">
        <f aca="false">IF(OR(S43="",G43&lt;&gt;"absolut",NOT(ISNUMBER(L43)),L43=0),"",S43/ABS(L43))</f>
        <v/>
      </c>
      <c r="U43" s="19" t="str">
        <f aca="false">IF(T43="","",ABS(T43))</f>
        <v/>
      </c>
      <c r="V43" s="20" t="n">
        <f aca="false">IF(OR(F43="Punkt",NOT(ISNUMBER(L43))),"",IF(F43="Mindestprognose",IF(L43&gt;=I43,1,0),IF(AND(ISNUMBER(I43),ISNUMBER(J43),I43&lt;&gt;J43),IF(AND(L43&gt;=I43,L43&lt;=J43),1,0),"")))</f>
        <v>0</v>
      </c>
      <c r="W43" s="18"/>
      <c r="X43" s="0" t="str">
        <f aca="false">IF(OR(F43="qualitativ",F43="fehlend",NOT(ISNUMBER(L43))),"nicht auswertbar",IF(F43="Punkt","Punktprognose",IF(AND(ISNUMBER(I43),ISNUMBER(J43),I43&lt;&gt;J43),IF(L43&lt;I43,"unterhalb",IF(L43&gt;J43,"oberhalb","innerhalb")),"nicht auswertbar")))</f>
        <v>unterhalb</v>
      </c>
      <c r="Y43" s="19" t="n">
        <f aca="false">IF(AND(ISNUMBER(S43),OR(G43="Marge %",G43="Wachstumsrate %")),ABS(S43),"")</f>
        <v>0.0245</v>
      </c>
      <c r="Z43" s="0" t="str">
        <f aca="false">IFERROR(VLOOKUP(A43,Unternehmen!$A:$D,4,FALSE()),"")</f>
        <v>Konsumgueter</v>
      </c>
    </row>
    <row r="44" customFormat="false" ht="15" hidden="false" customHeight="true" outlineLevel="0" collapsed="false">
      <c r="A44" s="15" t="s">
        <v>27</v>
      </c>
      <c r="B44" s="15" t="n">
        <v>2021</v>
      </c>
      <c r="C44" s="15" t="s">
        <v>15</v>
      </c>
      <c r="D44" s="15" t="n">
        <v>2020</v>
      </c>
      <c r="E44" s="15" t="n">
        <v>83</v>
      </c>
      <c r="F44" s="15" t="s">
        <v>187</v>
      </c>
      <c r="G44" s="15" t="s">
        <v>154</v>
      </c>
      <c r="H44" s="15" t="s">
        <v>155</v>
      </c>
      <c r="I44" s="24"/>
      <c r="J44" s="24"/>
      <c r="K44" s="16" t="n">
        <f aca="false">L42</f>
        <v>-0.057</v>
      </c>
      <c r="L44" s="16" t="n">
        <v>0.097</v>
      </c>
      <c r="M44" s="16" t="s">
        <v>230</v>
      </c>
      <c r="N44" s="22" t="s">
        <v>164</v>
      </c>
      <c r="O44" s="15" t="n">
        <v>2021</v>
      </c>
      <c r="P44" s="15" t="s">
        <v>227</v>
      </c>
      <c r="Q44" s="29" t="s">
        <v>231</v>
      </c>
      <c r="R44" s="19" t="str">
        <f aca="false">IF(NOT(ISNUMBER(I44)),"",IF(F44="Mindestprognose",I44,IF(ISNUMBER(J44),(I44+J44)/2,I44)))</f>
        <v/>
      </c>
      <c r="S44" s="19" t="str">
        <f aca="false">IF(OR(R44="",NOT(ISNUMBER(L44))),"",R44-L44)</f>
        <v/>
      </c>
      <c r="T44" s="19" t="str">
        <f aca="false">IF(OR(S44="",G44&lt;&gt;"absolut",NOT(ISNUMBER(L44)),L44=0),"",S44/ABS(L44))</f>
        <v/>
      </c>
      <c r="U44" s="19" t="str">
        <f aca="false">IF(T44="","",ABS(T44))</f>
        <v/>
      </c>
      <c r="V44" s="20" t="str">
        <f aca="false">IF(OR(F44="Punkt",NOT(ISNUMBER(L44))),"",IF(F44="Mindestprognose",IF(L44&gt;=I44,1,0),IF(AND(ISNUMBER(I44),ISNUMBER(J44),I44&lt;&gt;J44),IF(AND(L44&gt;=I44,L44&lt;=J44),1,0),"")))</f>
        <v/>
      </c>
      <c r="W44" s="18" t="s">
        <v>232</v>
      </c>
      <c r="X44" s="0" t="str">
        <f aca="false">IF(OR(F44="qualitativ",F44="fehlend",NOT(ISNUMBER(L44))),"nicht auswertbar",IF(F44="Punkt","Punktprognose",IF(AND(ISNUMBER(I44),ISNUMBER(J44),I44&lt;&gt;J44),IF(L44&lt;I44,"unterhalb",IF(L44&gt;J44,"oberhalb","innerhalb")),"nicht auswertbar")))</f>
        <v>nicht auswertbar</v>
      </c>
      <c r="Y44" s="19" t="str">
        <f aca="false">IF(AND(ISNUMBER(S44),OR(G44="Marge %",G44="Wachstumsrate %")),ABS(S44),"")</f>
        <v/>
      </c>
      <c r="Z44" s="0" t="str">
        <f aca="false">IFERROR(VLOOKUP(A44,Unternehmen!$A:$D,4,FALSE()),"")</f>
        <v>Konsumgueter</v>
      </c>
    </row>
    <row r="45" customFormat="false" ht="15" hidden="false" customHeight="true" outlineLevel="0" collapsed="false">
      <c r="A45" s="15" t="s">
        <v>27</v>
      </c>
      <c r="B45" s="15" t="n">
        <v>2021</v>
      </c>
      <c r="C45" s="15" t="s">
        <v>158</v>
      </c>
      <c r="D45" s="15" t="n">
        <v>2020</v>
      </c>
      <c r="E45" s="15" t="n">
        <v>83</v>
      </c>
      <c r="F45" s="15" t="s">
        <v>187</v>
      </c>
      <c r="G45" s="15" t="s">
        <v>159</v>
      </c>
      <c r="H45" s="15" t="s">
        <v>160</v>
      </c>
      <c r="I45" s="24"/>
      <c r="J45" s="24"/>
      <c r="K45" s="16" t="n">
        <f aca="false">L43</f>
        <v>0.118</v>
      </c>
      <c r="L45" s="16" t="n">
        <v>0.122</v>
      </c>
      <c r="M45" s="16" t="s">
        <v>233</v>
      </c>
      <c r="N45" s="23" t="s">
        <v>174</v>
      </c>
      <c r="O45" s="15" t="n">
        <v>2021</v>
      </c>
      <c r="P45" s="15" t="s">
        <v>227</v>
      </c>
      <c r="Q45" s="18"/>
      <c r="R45" s="19" t="str">
        <f aca="false">IF(NOT(ISNUMBER(I45)),"",IF(F45="Mindestprognose",I45,IF(ISNUMBER(J45),(I45+J45)/2,I45)))</f>
        <v/>
      </c>
      <c r="S45" s="19" t="str">
        <f aca="false">IF(OR(R45="",NOT(ISNUMBER(L45))),"",R45-L45)</f>
        <v/>
      </c>
      <c r="T45" s="19" t="str">
        <f aca="false">IF(OR(S45="",G45&lt;&gt;"absolut",NOT(ISNUMBER(L45)),L45=0),"",S45/ABS(L45))</f>
        <v/>
      </c>
      <c r="U45" s="19" t="str">
        <f aca="false">IF(T45="","",ABS(T45))</f>
        <v/>
      </c>
      <c r="V45" s="20" t="str">
        <f aca="false">IF(OR(F45="Punkt",NOT(ISNUMBER(L45))),"",IF(F45="Mindestprognose",IF(L45&gt;=I45,1,0),IF(AND(ISNUMBER(I45),ISNUMBER(J45),I45&lt;&gt;J45),IF(AND(L45&gt;=I45,L45&lt;=J45),1,0),"")))</f>
        <v/>
      </c>
      <c r="W45" s="18" t="s">
        <v>234</v>
      </c>
      <c r="X45" s="0" t="str">
        <f aca="false">IF(OR(F45="qualitativ",F45="fehlend",NOT(ISNUMBER(L45))),"nicht auswertbar",IF(F45="Punkt","Punktprognose",IF(AND(ISNUMBER(I45),ISNUMBER(J45),I45&lt;&gt;J45),IF(L45&lt;I45,"unterhalb",IF(L45&gt;J45,"oberhalb","innerhalb")),"nicht auswertbar")))</f>
        <v>nicht auswertbar</v>
      </c>
      <c r="Y45" s="19" t="str">
        <f aca="false">IF(AND(ISNUMBER(S45),OR(G45="Marge %",G45="Wachstumsrate %")),ABS(S45),"")</f>
        <v/>
      </c>
      <c r="Z45" s="0" t="str">
        <f aca="false">IFERROR(VLOOKUP(A45,Unternehmen!$A:$D,4,FALSE()),"")</f>
        <v>Konsumgueter</v>
      </c>
    </row>
    <row r="46" customFormat="false" ht="15" hidden="false" customHeight="true" outlineLevel="0" collapsed="false">
      <c r="A46" s="15" t="s">
        <v>27</v>
      </c>
      <c r="B46" s="15" t="n">
        <v>2022</v>
      </c>
      <c r="C46" s="15" t="s">
        <v>15</v>
      </c>
      <c r="D46" s="15" t="n">
        <v>2021</v>
      </c>
      <c r="E46" s="15" t="n">
        <v>106</v>
      </c>
      <c r="F46" s="15" t="s">
        <v>235</v>
      </c>
      <c r="G46" s="15" t="s">
        <v>154</v>
      </c>
      <c r="H46" s="15" t="s">
        <v>155</v>
      </c>
      <c r="I46" s="16" t="n">
        <v>0.04</v>
      </c>
      <c r="J46" s="16" t="n">
        <v>0.06</v>
      </c>
      <c r="K46" s="16" t="n">
        <f aca="false">L44</f>
        <v>0.097</v>
      </c>
      <c r="L46" s="16" t="n">
        <v>0.102</v>
      </c>
      <c r="M46" s="16" t="s">
        <v>236</v>
      </c>
      <c r="N46" s="23" t="s">
        <v>174</v>
      </c>
      <c r="O46" s="15" t="s">
        <v>237</v>
      </c>
      <c r="P46" s="15" t="n">
        <v>2</v>
      </c>
      <c r="Q46" s="18"/>
      <c r="R46" s="19" t="n">
        <f aca="false">IF(NOT(ISNUMBER(I46)),"",IF(F46="Mindestprognose",I46,IF(ISNUMBER(J46),(I46+J46)/2,I46)))</f>
        <v>0.05</v>
      </c>
      <c r="S46" s="19" t="n">
        <f aca="false">IF(OR(R46="",NOT(ISNUMBER(L46))),"",R46-L46)</f>
        <v>-0.052</v>
      </c>
      <c r="T46" s="19" t="str">
        <f aca="false">IF(OR(S46="",G46&lt;&gt;"absolut",NOT(ISNUMBER(L46)),L46=0),"",S46/ABS(L46))</f>
        <v/>
      </c>
      <c r="U46" s="19" t="str">
        <f aca="false">IF(T46="","",ABS(T46))</f>
        <v/>
      </c>
      <c r="V46" s="20" t="n">
        <f aca="false">IF(OR(F46="Punkt",NOT(ISNUMBER(L46))),"",IF(F46="Mindestprognose",IF(L46&gt;=I46,1,0),IF(AND(ISNUMBER(I46),ISNUMBER(J46),I46&lt;&gt;J46),IF(AND(L46&gt;=I46,L46&lt;=J46),1,0),"")))</f>
        <v>0</v>
      </c>
      <c r="W46" s="18"/>
      <c r="X46" s="0" t="str">
        <f aca="false">IF(OR(F46="qualitativ",F46="fehlend",NOT(ISNUMBER(L46))),"nicht auswertbar",IF(F46="Punkt","Punktprognose",IF(AND(ISNUMBER(I46),ISNUMBER(J46),I46&lt;&gt;J46),IF(L46&lt;I46,"unterhalb",IF(L46&gt;J46,"oberhalb","innerhalb")),"nicht auswertbar")))</f>
        <v>oberhalb</v>
      </c>
      <c r="Y46" s="19" t="n">
        <f aca="false">IF(AND(ISNUMBER(S46),OR(G46="Marge %",G46="Wachstumsrate %")),ABS(S46),"")</f>
        <v>0.052</v>
      </c>
      <c r="Z46" s="0" t="str">
        <f aca="false">IFERROR(VLOOKUP(A46,Unternehmen!$A:$D,4,FALSE()),"")</f>
        <v>Konsumgueter</v>
      </c>
    </row>
    <row r="47" customFormat="false" ht="15" hidden="false" customHeight="true" outlineLevel="0" collapsed="false">
      <c r="A47" s="15" t="s">
        <v>27</v>
      </c>
      <c r="B47" s="15" t="n">
        <v>2022</v>
      </c>
      <c r="C47" s="15" t="s">
        <v>158</v>
      </c>
      <c r="D47" s="15" t="n">
        <v>2021</v>
      </c>
      <c r="E47" s="15" t="n">
        <v>106</v>
      </c>
      <c r="F47" s="15" t="s">
        <v>187</v>
      </c>
      <c r="G47" s="15" t="s">
        <v>159</v>
      </c>
      <c r="H47" s="15" t="s">
        <v>160</v>
      </c>
      <c r="I47" s="24"/>
      <c r="J47" s="24"/>
      <c r="K47" s="16" t="n">
        <f aca="false">L45</f>
        <v>0.122</v>
      </c>
      <c r="L47" s="16" t="n">
        <v>0.124</v>
      </c>
      <c r="M47" s="16" t="s">
        <v>238</v>
      </c>
      <c r="N47" s="22" t="s">
        <v>164</v>
      </c>
      <c r="O47" s="15" t="s">
        <v>237</v>
      </c>
      <c r="P47" s="15" t="n">
        <v>2</v>
      </c>
      <c r="Q47" s="18"/>
      <c r="R47" s="19" t="str">
        <f aca="false">IF(NOT(ISNUMBER(I47)),"",IF(F47="Mindestprognose",I47,IF(ISNUMBER(J47),(I47+J47)/2,I47)))</f>
        <v/>
      </c>
      <c r="S47" s="19" t="str">
        <f aca="false">IF(OR(R47="",NOT(ISNUMBER(L47))),"",R47-L47)</f>
        <v/>
      </c>
      <c r="T47" s="19" t="str">
        <f aca="false">IF(OR(S47="",G47&lt;&gt;"absolut",NOT(ISNUMBER(L47)),L47=0),"",S47/ABS(L47))</f>
        <v/>
      </c>
      <c r="U47" s="19" t="str">
        <f aca="false">IF(T47="","",ABS(T47))</f>
        <v/>
      </c>
      <c r="V47" s="20" t="str">
        <f aca="false">IF(OR(F47="Punkt",NOT(ISNUMBER(L47))),"",IF(F47="Mindestprognose",IF(L47&gt;=I47,1,0),IF(AND(ISNUMBER(I47),ISNUMBER(J47),I47&lt;&gt;J47),IF(AND(L47&gt;=I47,L47&lt;=J47),1,0),"")))</f>
        <v/>
      </c>
      <c r="W47" s="18" t="s">
        <v>239</v>
      </c>
      <c r="X47" s="0" t="str">
        <f aca="false">IF(OR(F47="qualitativ",F47="fehlend",NOT(ISNUMBER(L47))),"nicht auswertbar",IF(F47="Punkt","Punktprognose",IF(AND(ISNUMBER(I47),ISNUMBER(J47),I47&lt;&gt;J47),IF(L47&lt;I47,"unterhalb",IF(L47&gt;J47,"oberhalb","innerhalb")),"nicht auswertbar")))</f>
        <v>nicht auswertbar</v>
      </c>
      <c r="Y47" s="19" t="str">
        <f aca="false">IF(AND(ISNUMBER(S47),OR(G47="Marge %",G47="Wachstumsrate %")),ABS(S47),"")</f>
        <v/>
      </c>
      <c r="Z47" s="0" t="str">
        <f aca="false">IFERROR(VLOOKUP(A47,Unternehmen!$A:$D,4,FALSE()),"")</f>
        <v>Konsumgueter</v>
      </c>
    </row>
    <row r="48" customFormat="false" ht="15" hidden="false" customHeight="true" outlineLevel="0" collapsed="false">
      <c r="A48" s="15" t="s">
        <v>27</v>
      </c>
      <c r="B48" s="15" t="n">
        <v>2023</v>
      </c>
      <c r="C48" s="15" t="s">
        <v>15</v>
      </c>
      <c r="D48" s="15" t="s">
        <v>237</v>
      </c>
      <c r="E48" s="15" t="n">
        <v>174</v>
      </c>
      <c r="F48" s="15" t="s">
        <v>187</v>
      </c>
      <c r="G48" s="15" t="s">
        <v>154</v>
      </c>
      <c r="H48" s="15" t="s">
        <v>155</v>
      </c>
      <c r="I48" s="24"/>
      <c r="J48" s="24"/>
      <c r="K48" s="16" t="n">
        <f aca="false">L46</f>
        <v>0.102</v>
      </c>
      <c r="L48" s="16" t="n">
        <v>0.108</v>
      </c>
      <c r="M48" s="16" t="s">
        <v>240</v>
      </c>
      <c r="N48" s="22" t="s">
        <v>164</v>
      </c>
      <c r="O48" s="15" t="s">
        <v>241</v>
      </c>
      <c r="P48" s="15" t="n">
        <v>2</v>
      </c>
      <c r="Q48" s="18"/>
      <c r="R48" s="19" t="str">
        <f aca="false">IF(NOT(ISNUMBER(I48)),"",IF(F48="Mindestprognose",I48,IF(ISNUMBER(J48),(I48+J48)/2,I48)))</f>
        <v/>
      </c>
      <c r="S48" s="19" t="str">
        <f aca="false">IF(OR(R48="",NOT(ISNUMBER(L48))),"",R48-L48)</f>
        <v/>
      </c>
      <c r="T48" s="19" t="str">
        <f aca="false">IF(OR(S48="",G48&lt;&gt;"absolut",NOT(ISNUMBER(L48)),L48=0),"",S48/ABS(L48))</f>
        <v/>
      </c>
      <c r="U48" s="19" t="str">
        <f aca="false">IF(T48="","",ABS(T48))</f>
        <v/>
      </c>
      <c r="V48" s="20" t="str">
        <f aca="false">IF(OR(F48="Punkt",NOT(ISNUMBER(L48))),"",IF(F48="Mindestprognose",IF(L48&gt;=I48,1,0),IF(AND(ISNUMBER(I48),ISNUMBER(J48),I48&lt;&gt;J48),IF(AND(L48&gt;=I48,L48&lt;=J48),1,0),"")))</f>
        <v/>
      </c>
      <c r="W48" s="18" t="s">
        <v>239</v>
      </c>
      <c r="X48" s="0" t="str">
        <f aca="false">IF(OR(F48="qualitativ",F48="fehlend",NOT(ISNUMBER(L48))),"nicht auswertbar",IF(F48="Punkt","Punktprognose",IF(AND(ISNUMBER(I48),ISNUMBER(J48),I48&lt;&gt;J48),IF(L48&lt;I48,"unterhalb",IF(L48&gt;J48,"oberhalb","innerhalb")),"nicht auswertbar")))</f>
        <v>nicht auswertbar</v>
      </c>
      <c r="Y48" s="19" t="str">
        <f aca="false">IF(AND(ISNUMBER(S48),OR(G48="Marge %",G48="Wachstumsrate %")),ABS(S48),"")</f>
        <v/>
      </c>
      <c r="Z48" s="0" t="str">
        <f aca="false">IFERROR(VLOOKUP(A48,Unternehmen!$A:$D,4,FALSE()),"")</f>
        <v>Konsumgueter</v>
      </c>
    </row>
    <row r="49" customFormat="false" ht="15" hidden="false" customHeight="true" outlineLevel="0" collapsed="false">
      <c r="A49" s="15" t="s">
        <v>27</v>
      </c>
      <c r="B49" s="15" t="n">
        <v>2023</v>
      </c>
      <c r="C49" s="15" t="s">
        <v>158</v>
      </c>
      <c r="D49" s="15" t="s">
        <v>237</v>
      </c>
      <c r="E49" s="15" t="n">
        <v>174</v>
      </c>
      <c r="F49" s="15" t="s">
        <v>176</v>
      </c>
      <c r="G49" s="15" t="s">
        <v>159</v>
      </c>
      <c r="H49" s="15" t="s">
        <v>160</v>
      </c>
      <c r="I49" s="16" t="n">
        <v>0.129</v>
      </c>
      <c r="J49" s="16" t="n">
        <v>0.129</v>
      </c>
      <c r="K49" s="16" t="n">
        <f aca="false">L47</f>
        <v>0.124</v>
      </c>
      <c r="L49" s="16" t="n">
        <v>0.117</v>
      </c>
      <c r="M49" s="16" t="s">
        <v>242</v>
      </c>
      <c r="N49" s="17" t="s">
        <v>243</v>
      </c>
      <c r="O49" s="15" t="s">
        <v>241</v>
      </c>
      <c r="P49" s="15" t="n">
        <v>2</v>
      </c>
      <c r="Q49" s="18"/>
      <c r="R49" s="19" t="n">
        <f aca="false">IF(NOT(ISNUMBER(I49)),"",IF(F49="Mindestprognose",I49,IF(ISNUMBER(J49),(I49+J49)/2,I49)))</f>
        <v>0.129</v>
      </c>
      <c r="S49" s="19" t="n">
        <f aca="false">IF(OR(R49="",NOT(ISNUMBER(L49))),"",R49-L49)</f>
        <v>0.012</v>
      </c>
      <c r="T49" s="19" t="str">
        <f aca="false">IF(OR(S49="",G49&lt;&gt;"absolut",NOT(ISNUMBER(L49)),L49=0),"",S49/ABS(L49))</f>
        <v/>
      </c>
      <c r="U49" s="19" t="str">
        <f aca="false">IF(T49="","",ABS(T49))</f>
        <v/>
      </c>
      <c r="V49" s="20" t="str">
        <f aca="false">IF(OR(F49="Punkt",NOT(ISNUMBER(L49))),"",IF(F49="Mindestprognose",IF(L49&gt;=I49,1,0),IF(AND(ISNUMBER(I49),ISNUMBER(J49),I49&lt;&gt;J49),IF(AND(L49&gt;=I49,L49&lt;=J49),1,0),"")))</f>
        <v/>
      </c>
      <c r="W49" s="18"/>
      <c r="X49" s="0" t="str">
        <f aca="false">IF(OR(F49="qualitativ",F49="fehlend",NOT(ISNUMBER(L49))),"nicht auswertbar",IF(F49="Punkt","Punktprognose",IF(AND(ISNUMBER(I49),ISNUMBER(J49),I49&lt;&gt;J49),IF(L49&lt;I49,"unterhalb",IF(L49&gt;J49,"oberhalb","innerhalb")),"nicht auswertbar")))</f>
        <v>Punktprognose</v>
      </c>
      <c r="Y49" s="19" t="n">
        <f aca="false">IF(AND(ISNUMBER(S49),OR(G49="Marge %",G49="Wachstumsrate %")),ABS(S49),"")</f>
        <v>0.012</v>
      </c>
      <c r="Z49" s="0" t="str">
        <f aca="false">IFERROR(VLOOKUP(A49,Unternehmen!$A:$D,4,FALSE()),"")</f>
        <v>Konsumgueter</v>
      </c>
    </row>
    <row r="50" customFormat="false" ht="15" hidden="false" customHeight="true" outlineLevel="0" collapsed="false">
      <c r="A50" s="15" t="s">
        <v>27</v>
      </c>
      <c r="B50" s="15" t="n">
        <v>2024</v>
      </c>
      <c r="C50" s="15" t="s">
        <v>15</v>
      </c>
      <c r="D50" s="15" t="s">
        <v>241</v>
      </c>
      <c r="E50" s="15" t="n">
        <v>179</v>
      </c>
      <c r="F50" s="15" t="s">
        <v>235</v>
      </c>
      <c r="G50" s="15" t="s">
        <v>154</v>
      </c>
      <c r="H50" s="15" t="s">
        <v>155</v>
      </c>
      <c r="I50" s="16" t="n">
        <v>0.04</v>
      </c>
      <c r="J50" s="16" t="n">
        <v>0.06</v>
      </c>
      <c r="K50" s="16" t="n">
        <f aca="false">L48</f>
        <v>0.108</v>
      </c>
      <c r="L50" s="16" t="n">
        <v>0.065</v>
      </c>
      <c r="M50" s="16" t="s">
        <v>244</v>
      </c>
      <c r="N50" s="22" t="s">
        <v>164</v>
      </c>
      <c r="O50" s="15" t="s">
        <v>245</v>
      </c>
      <c r="P50" s="15" t="n">
        <v>2</v>
      </c>
      <c r="Q50" s="18"/>
      <c r="R50" s="19" t="n">
        <f aca="false">IF(NOT(ISNUMBER(I50)),"",IF(F50="Mindestprognose",I50,IF(ISNUMBER(J50),(I50+J50)/2,I50)))</f>
        <v>0.05</v>
      </c>
      <c r="S50" s="19" t="n">
        <f aca="false">IF(OR(R50="",NOT(ISNUMBER(L50))),"",R50-L50)</f>
        <v>-0.015</v>
      </c>
      <c r="T50" s="19" t="str">
        <f aca="false">IF(OR(S50="",G50&lt;&gt;"absolut",NOT(ISNUMBER(L50)),L50=0),"",S50/ABS(L50))</f>
        <v/>
      </c>
      <c r="U50" s="19" t="str">
        <f aca="false">IF(T50="","",ABS(T50))</f>
        <v/>
      </c>
      <c r="V50" s="20" t="n">
        <f aca="false">IF(OR(F50="Punkt",NOT(ISNUMBER(L50))),"",IF(F50="Mindestprognose",IF(L50&gt;=I50,1,0),IF(AND(ISNUMBER(I50),ISNUMBER(J50),I50&lt;&gt;J50),IF(AND(L50&gt;=I50,L50&lt;=J50),1,0),"")))</f>
        <v>0</v>
      </c>
      <c r="W50" s="18"/>
      <c r="X50" s="0" t="str">
        <f aca="false">IF(OR(F50="qualitativ",F50="fehlend",NOT(ISNUMBER(L50))),"nicht auswertbar",IF(F50="Punkt","Punktprognose",IF(AND(ISNUMBER(I50),ISNUMBER(J50),I50&lt;&gt;J50),IF(L50&lt;I50,"unterhalb",IF(L50&gt;J50,"oberhalb","innerhalb")),"nicht auswertbar")))</f>
        <v>oberhalb</v>
      </c>
      <c r="Y50" s="19" t="n">
        <f aca="false">IF(AND(ISNUMBER(S50),OR(G50="Marge %",G50="Wachstumsrate %")),ABS(S50),"")</f>
        <v>0.015</v>
      </c>
      <c r="Z50" s="0" t="str">
        <f aca="false">IFERROR(VLOOKUP(A50,Unternehmen!$A:$D,4,FALSE()),"")</f>
        <v>Konsumgueter</v>
      </c>
    </row>
    <row r="51" customFormat="false" ht="15" hidden="false" customHeight="true" outlineLevel="0" collapsed="false">
      <c r="A51" s="15" t="s">
        <v>27</v>
      </c>
      <c r="B51" s="15" t="n">
        <v>2024</v>
      </c>
      <c r="C51" s="15" t="s">
        <v>158</v>
      </c>
      <c r="D51" s="15" t="s">
        <v>241</v>
      </c>
      <c r="E51" s="15" t="n">
        <v>179</v>
      </c>
      <c r="F51" s="15" t="s">
        <v>176</v>
      </c>
      <c r="G51" s="15" t="s">
        <v>159</v>
      </c>
      <c r="H51" s="15" t="s">
        <v>160</v>
      </c>
      <c r="I51" s="16" t="n">
        <v>0.122</v>
      </c>
      <c r="J51" s="16" t="n">
        <v>0.122</v>
      </c>
      <c r="K51" s="16" t="n">
        <f aca="false">L49</f>
        <v>0.117</v>
      </c>
      <c r="L51" s="16" t="n">
        <v>0.131</v>
      </c>
      <c r="M51" s="16" t="s">
        <v>246</v>
      </c>
      <c r="N51" s="23" t="s">
        <v>174</v>
      </c>
      <c r="O51" s="15" t="s">
        <v>245</v>
      </c>
      <c r="P51" s="15" t="n">
        <v>2</v>
      </c>
      <c r="Q51" s="18"/>
      <c r="R51" s="19" t="n">
        <f aca="false">IF(NOT(ISNUMBER(I51)),"",IF(F51="Mindestprognose",I51,IF(ISNUMBER(J51),(I51+J51)/2,I51)))</f>
        <v>0.122</v>
      </c>
      <c r="S51" s="19" t="n">
        <f aca="false">IF(OR(R51="",NOT(ISNUMBER(L51))),"",R51-L51)</f>
        <v>-0.00900000000000001</v>
      </c>
      <c r="T51" s="19" t="str">
        <f aca="false">IF(OR(S51="",G51&lt;&gt;"absolut",NOT(ISNUMBER(L51)),L51=0),"",S51/ABS(L51))</f>
        <v/>
      </c>
      <c r="U51" s="19" t="str">
        <f aca="false">IF(T51="","",ABS(T51))</f>
        <v/>
      </c>
      <c r="V51" s="20" t="str">
        <f aca="false">IF(OR(F51="Punkt",NOT(ISNUMBER(L51))),"",IF(F51="Mindestprognose",IF(L51&gt;=I51,1,0),IF(AND(ISNUMBER(I51),ISNUMBER(J51),I51&lt;&gt;J51),IF(AND(L51&gt;=I51,L51&lt;=J51),1,0),"")))</f>
        <v/>
      </c>
      <c r="W51" s="18"/>
      <c r="X51" s="0" t="str">
        <f aca="false">IF(OR(F51="qualitativ",F51="fehlend",NOT(ISNUMBER(L51))),"nicht auswertbar",IF(F51="Punkt","Punktprognose",IF(AND(ISNUMBER(I51),ISNUMBER(J51),I51&lt;&gt;J51),IF(L51&lt;I51,"unterhalb",IF(L51&gt;J51,"oberhalb","innerhalb")),"nicht auswertbar")))</f>
        <v>Punktprognose</v>
      </c>
      <c r="Y51" s="19" t="n">
        <f aca="false">IF(AND(ISNUMBER(S51),OR(G51="Marge %",G51="Wachstumsrate %")),ABS(S51),"")</f>
        <v>0.00900000000000001</v>
      </c>
      <c r="Z51" s="0" t="str">
        <f aca="false">IFERROR(VLOOKUP(A51,Unternehmen!$A:$D,4,FALSE()),"")</f>
        <v>Konsumgueter</v>
      </c>
    </row>
    <row r="52" customFormat="false" ht="15" hidden="false" customHeight="true" outlineLevel="0" collapsed="false">
      <c r="A52" s="15" t="s">
        <v>32</v>
      </c>
      <c r="B52" s="15" t="n">
        <v>2020</v>
      </c>
      <c r="C52" s="15" t="s">
        <v>15</v>
      </c>
      <c r="D52" s="28"/>
      <c r="E52" s="28"/>
      <c r="F52" s="28" t="s">
        <v>206</v>
      </c>
      <c r="G52" s="28"/>
      <c r="H52" s="28"/>
      <c r="I52" s="24"/>
      <c r="J52" s="24"/>
      <c r="K52" s="24"/>
      <c r="L52" s="24"/>
      <c r="M52" s="24"/>
      <c r="N52" s="30"/>
      <c r="O52" s="28"/>
      <c r="P52" s="28"/>
      <c r="Q52" s="18"/>
      <c r="R52" s="25" t="str">
        <f aca="false">IF(NOT(ISNUMBER(I52)),"",IF(F52="Mindestprognose",I52,IF(ISNUMBER(J52),(I52+J52)/2,I52)))</f>
        <v/>
      </c>
      <c r="S52" s="25" t="str">
        <f aca="false">IF(OR(R52="",NOT(ISNUMBER(L52))),"",R52-L52)</f>
        <v/>
      </c>
      <c r="T52" s="19" t="str">
        <f aca="false">IF(OR(S52="",G52&lt;&gt;"absolut",NOT(ISNUMBER(L52)),L52=0),"",S52/ABS(L52))</f>
        <v/>
      </c>
      <c r="U52" s="19" t="str">
        <f aca="false">IF(T52="","",ABS(T52))</f>
        <v/>
      </c>
      <c r="V52" s="20" t="str">
        <f aca="false">IF(OR(F52="Punkt",NOT(ISNUMBER(L52))),"",IF(F52="Mindestprognose",IF(L52&gt;=I52,1,0),IF(AND(ISNUMBER(I52),ISNUMBER(J52),I52&lt;&gt;J52),IF(AND(L52&gt;=I52,L52&lt;=J52),1,0),"")))</f>
        <v/>
      </c>
      <c r="W52" s="18"/>
      <c r="X52" s="0" t="str">
        <f aca="false">IF(OR(F52="qualitativ",F52="fehlend",NOT(ISNUMBER(L52))),"nicht auswertbar",IF(F52="Punkt","Punktprognose",IF(AND(ISNUMBER(I52),ISNUMBER(J52),I52&lt;&gt;J52),IF(L52&lt;I52,"unterhalb",IF(L52&gt;J52,"oberhalb","innerhalb")),"nicht auswertbar")))</f>
        <v>nicht auswertbar</v>
      </c>
      <c r="Y52" s="25" t="str">
        <f aca="false">IF(AND(ISNUMBER(S52),OR(G52="Marge %",G52="Wachstumsrate %")),ABS(S52),"")</f>
        <v/>
      </c>
      <c r="Z52" s="0" t="str">
        <f aca="false">IFERROR(VLOOKUP(A52,Unternehmen!$A:$D,4,FALSE()),"")</f>
        <v>Automobile</v>
      </c>
    </row>
    <row r="53" customFormat="false" ht="15" hidden="false" customHeight="true" outlineLevel="0" collapsed="false">
      <c r="A53" s="15" t="s">
        <v>32</v>
      </c>
      <c r="B53" s="15" t="n">
        <v>2020</v>
      </c>
      <c r="C53" s="15" t="s">
        <v>158</v>
      </c>
      <c r="D53" s="15" t="s">
        <v>247</v>
      </c>
      <c r="E53" s="15" t="n">
        <v>85</v>
      </c>
      <c r="F53" s="15" t="s">
        <v>153</v>
      </c>
      <c r="G53" s="15" t="s">
        <v>159</v>
      </c>
      <c r="H53" s="15" t="s">
        <v>160</v>
      </c>
      <c r="I53" s="16" t="n">
        <v>0.02</v>
      </c>
      <c r="J53" s="16" t="n">
        <v>0.04</v>
      </c>
      <c r="K53" s="16" t="n">
        <v>0.049</v>
      </c>
      <c r="L53" s="16" t="n">
        <v>0.027</v>
      </c>
      <c r="M53" s="16" t="s">
        <v>229</v>
      </c>
      <c r="N53" s="22" t="s">
        <v>164</v>
      </c>
      <c r="O53" s="15" t="s">
        <v>248</v>
      </c>
      <c r="P53" s="15" t="n">
        <v>163</v>
      </c>
      <c r="Q53" s="18"/>
      <c r="R53" s="19" t="n">
        <f aca="false">IF(NOT(ISNUMBER(I53)),"",IF(F53="Mindestprognose",I53,IF(ISNUMBER(J53),(I53+J53)/2,I53)))</f>
        <v>0.03</v>
      </c>
      <c r="S53" s="19" t="n">
        <f aca="false">IF(OR(R53="",NOT(ISNUMBER(L53))),"",R53-L53)</f>
        <v>0.003</v>
      </c>
      <c r="T53" s="19" t="str">
        <f aca="false">IF(OR(S53="",G53&lt;&gt;"absolut",NOT(ISNUMBER(L53)),L53=0),"",S53/ABS(L53))</f>
        <v/>
      </c>
      <c r="U53" s="19" t="str">
        <f aca="false">IF(T53="","",ABS(T53))</f>
        <v/>
      </c>
      <c r="V53" s="20" t="n">
        <f aca="false">IF(OR(F53="Punkt",NOT(ISNUMBER(L53))),"",IF(F53="Mindestprognose",IF(L53&gt;=I53,1,0),IF(AND(ISNUMBER(I53),ISNUMBER(J53),I53&lt;&gt;J53),IF(AND(L53&gt;=I53,L53&lt;=J53),1,0),"")))</f>
        <v>1</v>
      </c>
      <c r="W53" s="18"/>
      <c r="X53" s="0" t="str">
        <f aca="false">IF(OR(F53="qualitativ",F53="fehlend",NOT(ISNUMBER(L53))),"nicht auswertbar",IF(F53="Punkt","Punktprognose",IF(AND(ISNUMBER(I53),ISNUMBER(J53),I53&lt;&gt;J53),IF(L53&lt;I53,"unterhalb",IF(L53&gt;J53,"oberhalb","innerhalb")),"nicht auswertbar")))</f>
        <v>innerhalb</v>
      </c>
      <c r="Y53" s="19" t="n">
        <f aca="false">IF(AND(ISNUMBER(S53),OR(G53="Marge %",G53="Wachstumsrate %")),ABS(S53),"")</f>
        <v>0.003</v>
      </c>
      <c r="Z53" s="0" t="str">
        <f aca="false">IFERROR(VLOOKUP(A53,Unternehmen!$A:$D,4,FALSE()),"")</f>
        <v>Automobile</v>
      </c>
    </row>
    <row r="54" customFormat="false" ht="15" hidden="false" customHeight="true" outlineLevel="0" collapsed="false">
      <c r="A54" s="15" t="s">
        <v>32</v>
      </c>
      <c r="B54" s="15" t="n">
        <v>2021</v>
      </c>
      <c r="C54" s="15" t="s">
        <v>15</v>
      </c>
      <c r="D54" s="28"/>
      <c r="E54" s="28"/>
      <c r="F54" s="28" t="s">
        <v>206</v>
      </c>
      <c r="G54" s="28"/>
      <c r="H54" s="28"/>
      <c r="I54" s="24"/>
      <c r="J54" s="24"/>
      <c r="K54" s="24"/>
      <c r="L54" s="24"/>
      <c r="M54" s="24"/>
      <c r="N54" s="30"/>
      <c r="O54" s="28"/>
      <c r="P54" s="28"/>
      <c r="Q54" s="18"/>
      <c r="R54" s="25" t="str">
        <f aca="false">IF(NOT(ISNUMBER(I54)),"",IF(F54="Mindestprognose",I54,IF(ISNUMBER(J54),(I54+J54)/2,I54)))</f>
        <v/>
      </c>
      <c r="S54" s="25" t="str">
        <f aca="false">IF(OR(R54="",NOT(ISNUMBER(L54))),"",R54-L54)</f>
        <v/>
      </c>
      <c r="T54" s="19" t="str">
        <f aca="false">IF(OR(S54="",G54&lt;&gt;"absolut",NOT(ISNUMBER(L54)),L54=0),"",S54/ABS(L54))</f>
        <v/>
      </c>
      <c r="U54" s="19" t="str">
        <f aca="false">IF(T54="","",ABS(T54))</f>
        <v/>
      </c>
      <c r="V54" s="20" t="str">
        <f aca="false">IF(OR(F54="Punkt",NOT(ISNUMBER(L54))),"",IF(F54="Mindestprognose",IF(L54&gt;=I54,1,0),IF(AND(ISNUMBER(I54),ISNUMBER(J54),I54&lt;&gt;J54),IF(AND(L54&gt;=I54,L54&lt;=J54),1,0),"")))</f>
        <v/>
      </c>
      <c r="W54" s="18"/>
      <c r="X54" s="0" t="str">
        <f aca="false">IF(OR(F54="qualitativ",F54="fehlend",NOT(ISNUMBER(L54))),"nicht auswertbar",IF(F54="Punkt","Punktprognose",IF(AND(ISNUMBER(I54),ISNUMBER(J54),I54&lt;&gt;J54),IF(L54&lt;I54,"unterhalb",IF(L54&gt;J54,"oberhalb","innerhalb")),"nicht auswertbar")))</f>
        <v>nicht auswertbar</v>
      </c>
      <c r="Y54" s="25" t="str">
        <f aca="false">IF(AND(ISNUMBER(S54),OR(G54="Marge %",G54="Wachstumsrate %")),ABS(S54),"")</f>
        <v/>
      </c>
      <c r="Z54" s="0" t="str">
        <f aca="false">IFERROR(VLOOKUP(A54,Unternehmen!$A:$D,4,FALSE()),"")</f>
        <v>Automobile</v>
      </c>
    </row>
    <row r="55" customFormat="false" ht="15" hidden="false" customHeight="true" outlineLevel="0" collapsed="false">
      <c r="A55" s="15" t="s">
        <v>32</v>
      </c>
      <c r="B55" s="15" t="n">
        <v>2021</v>
      </c>
      <c r="C55" s="15" t="s">
        <v>158</v>
      </c>
      <c r="D55" s="15" t="s">
        <v>248</v>
      </c>
      <c r="E55" s="15" t="n">
        <v>163</v>
      </c>
      <c r="F55" s="15" t="s">
        <v>153</v>
      </c>
      <c r="G55" s="15" t="s">
        <v>159</v>
      </c>
      <c r="H55" s="15" t="s">
        <v>160</v>
      </c>
      <c r="I55" s="16" t="n">
        <v>0.06</v>
      </c>
      <c r="J55" s="16" t="n">
        <v>0.08</v>
      </c>
      <c r="K55" s="16" t="n">
        <f aca="false">L53</f>
        <v>0.027</v>
      </c>
      <c r="L55" s="16" t="n">
        <v>0.103</v>
      </c>
      <c r="M55" s="16" t="s">
        <v>249</v>
      </c>
      <c r="N55" s="23" t="s">
        <v>174</v>
      </c>
      <c r="O55" s="15" t="s">
        <v>250</v>
      </c>
      <c r="P55" s="15" t="n">
        <v>128</v>
      </c>
      <c r="Q55" s="18"/>
      <c r="R55" s="19" t="n">
        <f aca="false">IF(NOT(ISNUMBER(I55)),"",IF(F55="Mindestprognose",I55,IF(ISNUMBER(J55),(I55+J55)/2,I55)))</f>
        <v>0.07</v>
      </c>
      <c r="S55" s="19" t="n">
        <f aca="false">IF(OR(R55="",NOT(ISNUMBER(L55))),"",R55-L55)</f>
        <v>-0.033</v>
      </c>
      <c r="T55" s="19" t="str">
        <f aca="false">IF(OR(S55="",G55&lt;&gt;"absolut",NOT(ISNUMBER(L55)),L55=0),"",S55/ABS(L55))</f>
        <v/>
      </c>
      <c r="U55" s="19" t="str">
        <f aca="false">IF(T55="","",ABS(T55))</f>
        <v/>
      </c>
      <c r="V55" s="20" t="n">
        <f aca="false">IF(OR(F55="Punkt",NOT(ISNUMBER(L55))),"",IF(F55="Mindestprognose",IF(L55&gt;=I55,1,0),IF(AND(ISNUMBER(I55),ISNUMBER(J55),I55&lt;&gt;J55),IF(AND(L55&gt;=I55,L55&lt;=J55),1,0),"")))</f>
        <v>0</v>
      </c>
      <c r="W55" s="18"/>
      <c r="X55" s="0" t="str">
        <f aca="false">IF(OR(F55="qualitativ",F55="fehlend",NOT(ISNUMBER(L55))),"nicht auswertbar",IF(F55="Punkt","Punktprognose",IF(AND(ISNUMBER(I55),ISNUMBER(J55),I55&lt;&gt;J55),IF(L55&lt;I55,"unterhalb",IF(L55&gt;J55,"oberhalb","innerhalb")),"nicht auswertbar")))</f>
        <v>oberhalb</v>
      </c>
      <c r="Y55" s="19" t="n">
        <f aca="false">IF(AND(ISNUMBER(S55),OR(G55="Marge %",G55="Wachstumsrate %")),ABS(S55),"")</f>
        <v>0.033</v>
      </c>
      <c r="Z55" s="0" t="str">
        <f aca="false">IFERROR(VLOOKUP(A55,Unternehmen!$A:$D,4,FALSE()),"")</f>
        <v>Automobile</v>
      </c>
    </row>
    <row r="56" customFormat="false" ht="15" hidden="false" customHeight="true" outlineLevel="0" collapsed="false">
      <c r="A56" s="15" t="s">
        <v>32</v>
      </c>
      <c r="B56" s="15" t="n">
        <v>2022</v>
      </c>
      <c r="C56" s="15" t="s">
        <v>15</v>
      </c>
      <c r="D56" s="28"/>
      <c r="E56" s="28"/>
      <c r="F56" s="28" t="s">
        <v>206</v>
      </c>
      <c r="G56" s="28"/>
      <c r="H56" s="28"/>
      <c r="I56" s="24"/>
      <c r="J56" s="24"/>
      <c r="K56" s="24"/>
      <c r="L56" s="24"/>
      <c r="M56" s="24"/>
      <c r="N56" s="30"/>
      <c r="O56" s="28"/>
      <c r="P56" s="28"/>
      <c r="Q56" s="18"/>
      <c r="R56" s="25" t="str">
        <f aca="false">IF(NOT(ISNUMBER(I56)),"",IF(F56="Mindestprognose",I56,IF(ISNUMBER(J56),(I56+J56)/2,I56)))</f>
        <v/>
      </c>
      <c r="S56" s="25" t="str">
        <f aca="false">IF(OR(R56="",NOT(ISNUMBER(L56))),"",R56-L56)</f>
        <v/>
      </c>
      <c r="T56" s="19" t="str">
        <f aca="false">IF(OR(S56="",G56&lt;&gt;"absolut",NOT(ISNUMBER(L56)),L56=0),"",S56/ABS(L56))</f>
        <v/>
      </c>
      <c r="U56" s="19" t="str">
        <f aca="false">IF(T56="","",ABS(T56))</f>
        <v/>
      </c>
      <c r="V56" s="20" t="str">
        <f aca="false">IF(OR(F56="Punkt",NOT(ISNUMBER(L56))),"",IF(F56="Mindestprognose",IF(L56&gt;=I56,1,0),IF(AND(ISNUMBER(I56),ISNUMBER(J56),I56&lt;&gt;J56),IF(AND(L56&gt;=I56,L56&lt;=J56),1,0),"")))</f>
        <v/>
      </c>
      <c r="W56" s="18"/>
      <c r="X56" s="0" t="str">
        <f aca="false">IF(OR(F56="qualitativ",F56="fehlend",NOT(ISNUMBER(L56))),"nicht auswertbar",IF(F56="Punkt","Punktprognose",IF(AND(ISNUMBER(I56),ISNUMBER(J56),I56&lt;&gt;J56),IF(L56&lt;I56,"unterhalb",IF(L56&gt;J56,"oberhalb","innerhalb")),"nicht auswertbar")))</f>
        <v>nicht auswertbar</v>
      </c>
      <c r="Y56" s="25" t="str">
        <f aca="false">IF(AND(ISNUMBER(S56),OR(G56="Marge %",G56="Wachstumsrate %")),ABS(S56),"")</f>
        <v/>
      </c>
      <c r="Z56" s="0" t="str">
        <f aca="false">IFERROR(VLOOKUP(A56,Unternehmen!$A:$D,4,FALSE()),"")</f>
        <v>Automobile</v>
      </c>
    </row>
    <row r="57" customFormat="false" ht="15" hidden="false" customHeight="true" outlineLevel="0" collapsed="false">
      <c r="A57" s="15" t="s">
        <v>32</v>
      </c>
      <c r="B57" s="15" t="n">
        <v>2022</v>
      </c>
      <c r="C57" s="15" t="s">
        <v>158</v>
      </c>
      <c r="D57" s="15" t="s">
        <v>250</v>
      </c>
      <c r="E57" s="15" t="n">
        <v>128</v>
      </c>
      <c r="F57" s="15" t="s">
        <v>153</v>
      </c>
      <c r="G57" s="15" t="s">
        <v>159</v>
      </c>
      <c r="H57" s="15" t="s">
        <v>160</v>
      </c>
      <c r="I57" s="16" t="n">
        <v>0.07</v>
      </c>
      <c r="J57" s="16" t="n">
        <v>0.09</v>
      </c>
      <c r="K57" s="16" t="n">
        <f aca="false">L55</f>
        <v>0.103</v>
      </c>
      <c r="L57" s="16" t="n">
        <v>0.086</v>
      </c>
      <c r="M57" s="16" t="s">
        <v>228</v>
      </c>
      <c r="N57" s="22" t="s">
        <v>164</v>
      </c>
      <c r="O57" s="15" t="s">
        <v>251</v>
      </c>
      <c r="P57" s="15" t="n">
        <v>126</v>
      </c>
      <c r="Q57" s="18"/>
      <c r="R57" s="19" t="n">
        <f aca="false">IF(NOT(ISNUMBER(I57)),"",IF(F57="Mindestprognose",I57,IF(ISNUMBER(J57),(I57+J57)/2,I57)))</f>
        <v>0.08</v>
      </c>
      <c r="S57" s="19" t="n">
        <f aca="false">IF(OR(R57="",NOT(ISNUMBER(L57))),"",R57-L57)</f>
        <v>-0.00599999999999999</v>
      </c>
      <c r="T57" s="19" t="str">
        <f aca="false">IF(OR(S57="",G57&lt;&gt;"absolut",NOT(ISNUMBER(L57)),L57=0),"",S57/ABS(L57))</f>
        <v/>
      </c>
      <c r="U57" s="19" t="str">
        <f aca="false">IF(T57="","",ABS(T57))</f>
        <v/>
      </c>
      <c r="V57" s="20" t="n">
        <f aca="false">IF(OR(F57="Punkt",NOT(ISNUMBER(L57))),"",IF(F57="Mindestprognose",IF(L57&gt;=I57,1,0),IF(AND(ISNUMBER(I57),ISNUMBER(J57),I57&lt;&gt;J57),IF(AND(L57&gt;=I57,L57&lt;=J57),1,0),"")))</f>
        <v>1</v>
      </c>
      <c r="W57" s="18"/>
      <c r="X57" s="0" t="str">
        <f aca="false">IF(OR(F57="qualitativ",F57="fehlend",NOT(ISNUMBER(L57))),"nicht auswertbar",IF(F57="Punkt","Punktprognose",IF(AND(ISNUMBER(I57),ISNUMBER(J57),I57&lt;&gt;J57),IF(L57&lt;I57,"unterhalb",IF(L57&gt;J57,"oberhalb","innerhalb")),"nicht auswertbar")))</f>
        <v>innerhalb</v>
      </c>
      <c r="Y57" s="19" t="n">
        <f aca="false">IF(AND(ISNUMBER(S57),OR(G57="Marge %",G57="Wachstumsrate %")),ABS(S57),"")</f>
        <v>0.00599999999999999</v>
      </c>
      <c r="Z57" s="0" t="str">
        <f aca="false">IFERROR(VLOOKUP(A57,Unternehmen!$A:$D,4,FALSE()),"")</f>
        <v>Automobile</v>
      </c>
    </row>
    <row r="58" customFormat="false" ht="15" hidden="false" customHeight="true" outlineLevel="0" collapsed="false">
      <c r="A58" s="15" t="s">
        <v>32</v>
      </c>
      <c r="B58" s="15" t="n">
        <v>2023</v>
      </c>
      <c r="C58" s="15" t="s">
        <v>15</v>
      </c>
      <c r="D58" s="28"/>
      <c r="E58" s="28"/>
      <c r="F58" s="28" t="s">
        <v>206</v>
      </c>
      <c r="G58" s="28"/>
      <c r="H58" s="28"/>
      <c r="I58" s="24"/>
      <c r="J58" s="24"/>
      <c r="K58" s="24"/>
      <c r="L58" s="24"/>
      <c r="M58" s="24"/>
      <c r="N58" s="30"/>
      <c r="O58" s="28"/>
      <c r="P58" s="28"/>
      <c r="Q58" s="18"/>
      <c r="R58" s="25" t="str">
        <f aca="false">IF(NOT(ISNUMBER(I58)),"",IF(F58="Mindestprognose",I58,IF(ISNUMBER(J58),(I58+J58)/2,I58)))</f>
        <v/>
      </c>
      <c r="S58" s="25" t="str">
        <f aca="false">IF(OR(R58="",NOT(ISNUMBER(L58))),"",R58-L58)</f>
        <v/>
      </c>
      <c r="T58" s="19" t="str">
        <f aca="false">IF(OR(S58="",G58&lt;&gt;"absolut",NOT(ISNUMBER(L58)),L58=0),"",S58/ABS(L58))</f>
        <v/>
      </c>
      <c r="U58" s="19" t="str">
        <f aca="false">IF(T58="","",ABS(T58))</f>
        <v/>
      </c>
      <c r="V58" s="20" t="str">
        <f aca="false">IF(OR(F58="Punkt",NOT(ISNUMBER(L58))),"",IF(F58="Mindestprognose",IF(L58&gt;=I58,1,0),IF(AND(ISNUMBER(I58),ISNUMBER(J58),I58&lt;&gt;J58),IF(AND(L58&gt;=I58,L58&lt;=J58),1,0),"")))</f>
        <v/>
      </c>
      <c r="W58" s="18"/>
      <c r="X58" s="0" t="str">
        <f aca="false">IF(OR(F58="qualitativ",F58="fehlend",NOT(ISNUMBER(L58))),"nicht auswertbar",IF(F58="Punkt","Punktprognose",IF(AND(ISNUMBER(I58),ISNUMBER(J58),I58&lt;&gt;J58),IF(L58&lt;I58,"unterhalb",IF(L58&gt;J58,"oberhalb","innerhalb")),"nicht auswertbar")))</f>
        <v>nicht auswertbar</v>
      </c>
      <c r="Y58" s="25" t="str">
        <f aca="false">IF(AND(ISNUMBER(S58),OR(G58="Marge %",G58="Wachstumsrate %")),ABS(S58),"")</f>
        <v/>
      </c>
      <c r="Z58" s="0" t="str">
        <f aca="false">IFERROR(VLOOKUP(A58,Unternehmen!$A:$D,4,FALSE()),"")</f>
        <v>Automobile</v>
      </c>
    </row>
    <row r="59" customFormat="false" ht="15" hidden="false" customHeight="true" outlineLevel="0" collapsed="false">
      <c r="A59" s="15" t="s">
        <v>32</v>
      </c>
      <c r="B59" s="15" t="n">
        <v>2023</v>
      </c>
      <c r="C59" s="15" t="s">
        <v>158</v>
      </c>
      <c r="D59" s="15" t="s">
        <v>251</v>
      </c>
      <c r="E59" s="15" t="n">
        <v>126</v>
      </c>
      <c r="F59" s="15" t="s">
        <v>153</v>
      </c>
      <c r="G59" s="15" t="s">
        <v>159</v>
      </c>
      <c r="H59" s="15" t="s">
        <v>160</v>
      </c>
      <c r="I59" s="16" t="n">
        <v>0.08</v>
      </c>
      <c r="J59" s="16" t="n">
        <v>0.1</v>
      </c>
      <c r="K59" s="16" t="n">
        <f aca="false">L57</f>
        <v>0.086</v>
      </c>
      <c r="L59" s="16" t="n">
        <v>0.098</v>
      </c>
      <c r="M59" s="16" t="s">
        <v>219</v>
      </c>
      <c r="N59" s="22" t="s">
        <v>164</v>
      </c>
      <c r="O59" s="15" t="s">
        <v>252</v>
      </c>
      <c r="P59" s="15" t="n">
        <v>125</v>
      </c>
      <c r="Q59" s="18"/>
      <c r="R59" s="19" t="n">
        <f aca="false">IF(NOT(ISNUMBER(I59)),"",IF(F59="Mindestprognose",I59,IF(ISNUMBER(J59),(I59+J59)/2,I59)))</f>
        <v>0.09</v>
      </c>
      <c r="S59" s="19" t="n">
        <f aca="false">IF(OR(R59="",NOT(ISNUMBER(L59))),"",R59-L59)</f>
        <v>-0.00800000000000001</v>
      </c>
      <c r="T59" s="19" t="str">
        <f aca="false">IF(OR(S59="",G59&lt;&gt;"absolut",NOT(ISNUMBER(L59)),L59=0),"",S59/ABS(L59))</f>
        <v/>
      </c>
      <c r="U59" s="19" t="str">
        <f aca="false">IF(T59="","",ABS(T59))</f>
        <v/>
      </c>
      <c r="V59" s="20" t="n">
        <f aca="false">IF(OR(F59="Punkt",NOT(ISNUMBER(L59))),"",IF(F59="Mindestprognose",IF(L59&gt;=I59,1,0),IF(AND(ISNUMBER(I59),ISNUMBER(J59),I59&lt;&gt;J59),IF(AND(L59&gt;=I59,L59&lt;=J59),1,0),"")))</f>
        <v>1</v>
      </c>
      <c r="W59" s="18"/>
      <c r="X59" s="0" t="str">
        <f aca="false">IF(OR(F59="qualitativ",F59="fehlend",NOT(ISNUMBER(L59))),"nicht auswertbar",IF(F59="Punkt","Punktprognose",IF(AND(ISNUMBER(I59),ISNUMBER(J59),I59&lt;&gt;J59),IF(L59&lt;I59,"unterhalb",IF(L59&gt;J59,"oberhalb","innerhalb")),"nicht auswertbar")))</f>
        <v>innerhalb</v>
      </c>
      <c r="Y59" s="19" t="n">
        <f aca="false">IF(AND(ISNUMBER(S59),OR(G59="Marge %",G59="Wachstumsrate %")),ABS(S59),"")</f>
        <v>0.00800000000000001</v>
      </c>
      <c r="Z59" s="0" t="str">
        <f aca="false">IFERROR(VLOOKUP(A59,Unternehmen!$A:$D,4,FALSE()),"")</f>
        <v>Automobile</v>
      </c>
    </row>
    <row r="60" customFormat="false" ht="15" hidden="false" customHeight="true" outlineLevel="0" collapsed="false">
      <c r="A60" s="15" t="s">
        <v>32</v>
      </c>
      <c r="B60" s="15" t="n">
        <v>2024</v>
      </c>
      <c r="C60" s="15" t="s">
        <v>15</v>
      </c>
      <c r="D60" s="28"/>
      <c r="E60" s="28"/>
      <c r="F60" s="28" t="s">
        <v>206</v>
      </c>
      <c r="G60" s="28"/>
      <c r="H60" s="28"/>
      <c r="I60" s="24"/>
      <c r="J60" s="24"/>
      <c r="K60" s="24"/>
      <c r="L60" s="24"/>
      <c r="M60" s="24"/>
      <c r="N60" s="30"/>
      <c r="O60" s="28"/>
      <c r="P60" s="28"/>
      <c r="Q60" s="18"/>
      <c r="R60" s="25" t="str">
        <f aca="false">IF(NOT(ISNUMBER(I60)),"",IF(F60="Mindestprognose",I60,IF(ISNUMBER(J60),(I60+J60)/2,I60)))</f>
        <v/>
      </c>
      <c r="S60" s="25" t="str">
        <f aca="false">IF(OR(R60="",NOT(ISNUMBER(L60))),"",R60-L60)</f>
        <v/>
      </c>
      <c r="T60" s="19" t="str">
        <f aca="false">IF(OR(S60="",G60&lt;&gt;"absolut",NOT(ISNUMBER(L60)),L60=0),"",S60/ABS(L60))</f>
        <v/>
      </c>
      <c r="U60" s="19" t="str">
        <f aca="false">IF(T60="","",ABS(T60))</f>
        <v/>
      </c>
      <c r="V60" s="20" t="str">
        <f aca="false">IF(OR(F60="Punkt",NOT(ISNUMBER(L60))),"",IF(F60="Mindestprognose",IF(L60&gt;=I60,1,0),IF(AND(ISNUMBER(I60),ISNUMBER(J60),I60&lt;&gt;J60),IF(AND(L60&gt;=I60,L60&lt;=J60),1,0),"")))</f>
        <v/>
      </c>
      <c r="W60" s="18"/>
      <c r="X60" s="0" t="str">
        <f aca="false">IF(OR(F60="qualitativ",F60="fehlend",NOT(ISNUMBER(L60))),"nicht auswertbar",IF(F60="Punkt","Punktprognose",IF(AND(ISNUMBER(I60),ISNUMBER(J60),I60&lt;&gt;J60),IF(L60&lt;I60,"unterhalb",IF(L60&gt;J60,"oberhalb","innerhalb")),"nicht auswertbar")))</f>
        <v>nicht auswertbar</v>
      </c>
      <c r="Y60" s="25" t="str">
        <f aca="false">IF(AND(ISNUMBER(S60),OR(G60="Marge %",G60="Wachstumsrate %")),ABS(S60),"")</f>
        <v/>
      </c>
      <c r="Z60" s="0" t="str">
        <f aca="false">IFERROR(VLOOKUP(A60,Unternehmen!$A:$D,4,FALSE()),"")</f>
        <v>Automobile</v>
      </c>
    </row>
    <row r="61" customFormat="false" ht="15" hidden="false" customHeight="true" outlineLevel="0" collapsed="false">
      <c r="A61" s="15" t="s">
        <v>32</v>
      </c>
      <c r="B61" s="15" t="n">
        <v>2024</v>
      </c>
      <c r="C61" s="15" t="s">
        <v>158</v>
      </c>
      <c r="D61" s="15" t="s">
        <v>252</v>
      </c>
      <c r="E61" s="15" t="n">
        <v>125</v>
      </c>
      <c r="F61" s="15" t="s">
        <v>153</v>
      </c>
      <c r="G61" s="15" t="s">
        <v>159</v>
      </c>
      <c r="H61" s="15" t="s">
        <v>160</v>
      </c>
      <c r="I61" s="16" t="n">
        <v>0.08</v>
      </c>
      <c r="J61" s="16" t="n">
        <v>0.1</v>
      </c>
      <c r="K61" s="16" t="n">
        <f aca="false">L59</f>
        <v>0.098</v>
      </c>
      <c r="L61" s="16" t="n">
        <v>0.063</v>
      </c>
      <c r="M61" s="16" t="s">
        <v>253</v>
      </c>
      <c r="N61" s="21" t="s">
        <v>228</v>
      </c>
      <c r="O61" s="15" t="s">
        <v>254</v>
      </c>
      <c r="P61" s="15" t="n">
        <v>263</v>
      </c>
      <c r="Q61" s="18"/>
      <c r="R61" s="19" t="n">
        <f aca="false">IF(NOT(ISNUMBER(I61)),"",IF(F61="Mindestprognose",I61,IF(ISNUMBER(J61),(I61+J61)/2,I61)))</f>
        <v>0.09</v>
      </c>
      <c r="S61" s="19" t="n">
        <f aca="false">IF(OR(R61="",NOT(ISNUMBER(L61))),"",R61-L61)</f>
        <v>0.027</v>
      </c>
      <c r="T61" s="19" t="str">
        <f aca="false">IF(OR(S61="",G61&lt;&gt;"absolut",NOT(ISNUMBER(L61)),L61=0),"",S61/ABS(L61))</f>
        <v/>
      </c>
      <c r="U61" s="19" t="str">
        <f aca="false">IF(T61="","",ABS(T61))</f>
        <v/>
      </c>
      <c r="V61" s="20" t="n">
        <f aca="false">IF(OR(F61="Punkt",NOT(ISNUMBER(L61))),"",IF(F61="Mindestprognose",IF(L61&gt;=I61,1,0),IF(AND(ISNUMBER(I61),ISNUMBER(J61),I61&lt;&gt;J61),IF(AND(L61&gt;=I61,L61&lt;=J61),1,0),"")))</f>
        <v>0</v>
      </c>
      <c r="W61" s="18"/>
      <c r="X61" s="0" t="str">
        <f aca="false">IF(OR(F61="qualitativ",F61="fehlend",NOT(ISNUMBER(L61))),"nicht auswertbar",IF(F61="Punkt","Punktprognose",IF(AND(ISNUMBER(I61),ISNUMBER(J61),I61&lt;&gt;J61),IF(L61&lt;I61,"unterhalb",IF(L61&gt;J61,"oberhalb","innerhalb")),"nicht auswertbar")))</f>
        <v>unterhalb</v>
      </c>
      <c r="Y61" s="19" t="n">
        <f aca="false">IF(AND(ISNUMBER(S61),OR(G61="Marge %",G61="Wachstumsrate %")),ABS(S61),"")</f>
        <v>0.027</v>
      </c>
      <c r="Z61" s="0" t="str">
        <f aca="false">IFERROR(VLOOKUP(A61,Unternehmen!$A:$D,4,FALSE()),"")</f>
        <v>Automobile</v>
      </c>
    </row>
    <row r="62" customFormat="false" ht="15" hidden="false" customHeight="true" outlineLevel="0" collapsed="false">
      <c r="A62" s="15" t="s">
        <v>38</v>
      </c>
      <c r="B62" s="15" t="n">
        <v>2020</v>
      </c>
      <c r="C62" s="15" t="s">
        <v>15</v>
      </c>
      <c r="D62" s="15" t="s">
        <v>255</v>
      </c>
      <c r="E62" s="15" t="n">
        <v>104</v>
      </c>
      <c r="F62" s="15" t="s">
        <v>183</v>
      </c>
      <c r="G62" s="15" t="s">
        <v>177</v>
      </c>
      <c r="H62" s="15" t="s">
        <v>184</v>
      </c>
      <c r="I62" s="17" t="n">
        <v>42.5</v>
      </c>
      <c r="J62" s="17" t="n">
        <v>44.5</v>
      </c>
      <c r="K62" s="17" t="n">
        <v>44.5</v>
      </c>
      <c r="L62" s="17" t="n">
        <v>37.7</v>
      </c>
      <c r="M62" s="17" t="n">
        <f aca="false">L62-K62</f>
        <v>-6.8</v>
      </c>
      <c r="N62" s="31" t="s">
        <v>256</v>
      </c>
      <c r="O62" s="15" t="s">
        <v>257</v>
      </c>
      <c r="P62" s="15" t="n">
        <v>113</v>
      </c>
      <c r="Q62" s="18"/>
      <c r="R62" s="25" t="n">
        <f aca="false">IF(NOT(ISNUMBER(I62)),"",IF(F62="Mindestprognose",I62,IF(ISNUMBER(J62),(I62+J62)/2,I62)))</f>
        <v>43.5</v>
      </c>
      <c r="S62" s="25" t="n">
        <f aca="false">IF(OR(R62="",NOT(ISNUMBER(L62))),"",R62-L62)</f>
        <v>5.8</v>
      </c>
      <c r="T62" s="19" t="n">
        <f aca="false">IF(OR(S62="",G62&lt;&gt;"absolut",NOT(ISNUMBER(L62)),L62=0),"",S62/ABS(L62))</f>
        <v>0.153846153846154</v>
      </c>
      <c r="U62" s="19" t="n">
        <f aca="false">IF(T62="","",ABS(T62))</f>
        <v>0.153846153846154</v>
      </c>
      <c r="V62" s="20" t="n">
        <f aca="false">IF(OR(F62="Punkt",NOT(ISNUMBER(L62))),"",IF(F62="Mindestprognose",IF(L62&gt;=I62,1,0),IF(AND(ISNUMBER(I62),ISNUMBER(J62),I62&lt;&gt;J62),IF(AND(L62&gt;=I62,L62&lt;=J62),1,0),"")))</f>
        <v>0</v>
      </c>
      <c r="W62" s="18"/>
      <c r="X62" s="0" t="str">
        <f aca="false">IF(OR(F62="qualitativ",F62="fehlend",NOT(ISNUMBER(L62))),"nicht auswertbar",IF(F62="Punkt","Punktprognose",IF(AND(ISNUMBER(I62),ISNUMBER(J62),I62&lt;&gt;J62),IF(L62&lt;I62,"unterhalb",IF(L62&gt;J62,"oberhalb","innerhalb")),"nicht auswertbar")))</f>
        <v>unterhalb</v>
      </c>
      <c r="Y62" s="25" t="str">
        <f aca="false">IF(AND(ISNUMBER(S62),OR(G62="Marge %",G62="Wachstumsrate %")),ABS(S62),"")</f>
        <v/>
      </c>
      <c r="Z62" s="0" t="str">
        <f aca="false">IFERROR(VLOOKUP(A62,Unternehmen!$A:$D,4,FALSE()),"")</f>
        <v>Automobile</v>
      </c>
    </row>
    <row r="63" customFormat="false" ht="15" hidden="false" customHeight="true" outlineLevel="0" collapsed="false">
      <c r="A63" s="15" t="s">
        <v>38</v>
      </c>
      <c r="B63" s="15" t="n">
        <v>2020</v>
      </c>
      <c r="C63" s="15" t="s">
        <v>158</v>
      </c>
      <c r="D63" s="15" t="s">
        <v>255</v>
      </c>
      <c r="E63" s="15" t="n">
        <v>104</v>
      </c>
      <c r="F63" s="15" t="s">
        <v>153</v>
      </c>
      <c r="G63" s="15" t="s">
        <v>159</v>
      </c>
      <c r="H63" s="15" t="s">
        <v>160</v>
      </c>
      <c r="I63" s="16" t="n">
        <v>0.055</v>
      </c>
      <c r="J63" s="16" t="n">
        <v>0.065</v>
      </c>
      <c r="K63" s="16" t="n">
        <v>0.074</v>
      </c>
      <c r="L63" s="16" t="n">
        <v>0.035</v>
      </c>
      <c r="M63" s="16" t="s">
        <v>258</v>
      </c>
      <c r="N63" s="21" t="s">
        <v>259</v>
      </c>
      <c r="O63" s="15" t="s">
        <v>257</v>
      </c>
      <c r="P63" s="15" t="n">
        <v>113</v>
      </c>
      <c r="Q63" s="18"/>
      <c r="R63" s="19" t="n">
        <f aca="false">IF(NOT(ISNUMBER(I63)),"",IF(F63="Mindestprognose",I63,IF(ISNUMBER(J63),(I63+J63)/2,I63)))</f>
        <v>0.06</v>
      </c>
      <c r="S63" s="19" t="n">
        <f aca="false">IF(OR(R63="",NOT(ISNUMBER(L63))),"",R63-L63)</f>
        <v>0.025</v>
      </c>
      <c r="T63" s="19" t="str">
        <f aca="false">IF(OR(S63="",G63&lt;&gt;"absolut",NOT(ISNUMBER(L63)),L63=0),"",S63/ABS(L63))</f>
        <v/>
      </c>
      <c r="U63" s="19" t="str">
        <f aca="false">IF(T63="","",ABS(T63))</f>
        <v/>
      </c>
      <c r="V63" s="20" t="n">
        <f aca="false">IF(OR(F63="Punkt",NOT(ISNUMBER(L63))),"",IF(F63="Mindestprognose",IF(L63&gt;=I63,1,0),IF(AND(ISNUMBER(I63),ISNUMBER(J63),I63&lt;&gt;J63),IF(AND(L63&gt;=I63,L63&lt;=J63),1,0),"")))</f>
        <v>0</v>
      </c>
      <c r="W63" s="18"/>
      <c r="X63" s="0" t="str">
        <f aca="false">IF(OR(F63="qualitativ",F63="fehlend",NOT(ISNUMBER(L63))),"nicht auswertbar",IF(F63="Punkt","Punktprognose",IF(AND(ISNUMBER(I63),ISNUMBER(J63),I63&lt;&gt;J63),IF(L63&lt;I63,"unterhalb",IF(L63&gt;J63,"oberhalb","innerhalb")),"nicht auswertbar")))</f>
        <v>unterhalb</v>
      </c>
      <c r="Y63" s="19" t="n">
        <f aca="false">IF(AND(ISNUMBER(S63),OR(G63="Marge %",G63="Wachstumsrate %")),ABS(S63),"")</f>
        <v>0.025</v>
      </c>
      <c r="Z63" s="0" t="str">
        <f aca="false">IFERROR(VLOOKUP(A63,Unternehmen!$A:$D,4,FALSE()),"")</f>
        <v>Automobile</v>
      </c>
    </row>
    <row r="64" customFormat="false" ht="15" hidden="false" customHeight="true" outlineLevel="0" collapsed="false">
      <c r="A64" s="15" t="s">
        <v>38</v>
      </c>
      <c r="B64" s="15" t="n">
        <v>2021</v>
      </c>
      <c r="C64" s="15" t="s">
        <v>15</v>
      </c>
      <c r="D64" s="15" t="s">
        <v>257</v>
      </c>
      <c r="E64" s="15" t="n">
        <v>114</v>
      </c>
      <c r="F64" s="15" t="s">
        <v>183</v>
      </c>
      <c r="G64" s="15" t="s">
        <v>177</v>
      </c>
      <c r="H64" s="15" t="s">
        <v>184</v>
      </c>
      <c r="I64" s="17" t="n">
        <v>40.5</v>
      </c>
      <c r="J64" s="17" t="n">
        <v>42.5</v>
      </c>
      <c r="K64" s="17" t="n">
        <f aca="false">L62</f>
        <v>37.7</v>
      </c>
      <c r="L64" s="17" t="n">
        <v>33.8</v>
      </c>
      <c r="M64" s="17" t="n">
        <f aca="false">L64-K64</f>
        <v>-3.90000000000001</v>
      </c>
      <c r="N64" s="21" t="s">
        <v>260</v>
      </c>
      <c r="O64" s="15" t="s">
        <v>261</v>
      </c>
      <c r="P64" s="15" t="n">
        <v>99</v>
      </c>
      <c r="Q64" s="18"/>
      <c r="R64" s="25" t="n">
        <f aca="false">IF(NOT(ISNUMBER(I64)),"",IF(F64="Mindestprognose",I64,IF(ISNUMBER(J64),(I64+J64)/2,I64)))</f>
        <v>41.5</v>
      </c>
      <c r="S64" s="25" t="n">
        <f aca="false">IF(OR(R64="",NOT(ISNUMBER(L64))),"",R64-L64)</f>
        <v>7.7</v>
      </c>
      <c r="T64" s="19" t="n">
        <f aca="false">IF(OR(S64="",G64&lt;&gt;"absolut",NOT(ISNUMBER(L64)),L64=0),"",S64/ABS(L64))</f>
        <v>0.227810650887574</v>
      </c>
      <c r="U64" s="19" t="n">
        <f aca="false">IF(T64="","",ABS(T64))</f>
        <v>0.227810650887574</v>
      </c>
      <c r="V64" s="20" t="n">
        <f aca="false">IF(OR(F64="Punkt",NOT(ISNUMBER(L64))),"",IF(F64="Mindestprognose",IF(L64&gt;=I64,1,0),IF(AND(ISNUMBER(I64),ISNUMBER(J64),I64&lt;&gt;J64),IF(AND(L64&gt;=I64,L64&lt;=J64),1,0),"")))</f>
        <v>0</v>
      </c>
      <c r="W64" s="18"/>
      <c r="X64" s="0" t="str">
        <f aca="false">IF(OR(F64="qualitativ",F64="fehlend",NOT(ISNUMBER(L64))),"nicht auswertbar",IF(F64="Punkt","Punktprognose",IF(AND(ISNUMBER(I64),ISNUMBER(J64),I64&lt;&gt;J64),IF(L64&lt;I64,"unterhalb",IF(L64&gt;J64,"oberhalb","innerhalb")),"nicht auswertbar")))</f>
        <v>unterhalb</v>
      </c>
      <c r="Y64" s="25" t="str">
        <f aca="false">IF(AND(ISNUMBER(S64),OR(G64="Marge %",G64="Wachstumsrate %")),ABS(S64),"")</f>
        <v/>
      </c>
      <c r="Z64" s="0" t="str">
        <f aca="false">IFERROR(VLOOKUP(A64,Unternehmen!$A:$D,4,FALSE()),"")</f>
        <v>Automobile</v>
      </c>
    </row>
    <row r="65" customFormat="false" ht="15" hidden="false" customHeight="true" outlineLevel="0" collapsed="false">
      <c r="A65" s="15" t="s">
        <v>38</v>
      </c>
      <c r="B65" s="15" t="n">
        <v>2021</v>
      </c>
      <c r="C65" s="15" t="s">
        <v>158</v>
      </c>
      <c r="D65" s="15" t="s">
        <v>257</v>
      </c>
      <c r="E65" s="15" t="n">
        <v>114</v>
      </c>
      <c r="F65" s="15" t="s">
        <v>153</v>
      </c>
      <c r="G65" s="15" t="s">
        <v>159</v>
      </c>
      <c r="H65" s="15" t="s">
        <v>160</v>
      </c>
      <c r="I65" s="16" t="n">
        <v>0.05</v>
      </c>
      <c r="J65" s="16" t="n">
        <v>0.06</v>
      </c>
      <c r="K65" s="16" t="n">
        <f aca="false">L63</f>
        <v>0.035</v>
      </c>
      <c r="L65" s="16" t="n">
        <v>0.056</v>
      </c>
      <c r="M65" s="16" t="s">
        <v>262</v>
      </c>
      <c r="N65" s="22" t="s">
        <v>164</v>
      </c>
      <c r="O65" s="15" t="s">
        <v>261</v>
      </c>
      <c r="P65" s="15" t="n">
        <v>99</v>
      </c>
      <c r="Q65" s="18"/>
      <c r="R65" s="19" t="n">
        <f aca="false">IF(NOT(ISNUMBER(I65)),"",IF(F65="Mindestprognose",I65,IF(ISNUMBER(J65),(I65+J65)/2,I65)))</f>
        <v>0.055</v>
      </c>
      <c r="S65" s="19" t="n">
        <f aca="false">IF(OR(R65="",NOT(ISNUMBER(L65))),"",R65-L65)</f>
        <v>-0.001</v>
      </c>
      <c r="T65" s="19" t="str">
        <f aca="false">IF(OR(S65="",G65&lt;&gt;"absolut",NOT(ISNUMBER(L65)),L65=0),"",S65/ABS(L65))</f>
        <v/>
      </c>
      <c r="U65" s="19" t="str">
        <f aca="false">IF(T65="","",ABS(T65))</f>
        <v/>
      </c>
      <c r="V65" s="20" t="n">
        <f aca="false">IF(OR(F65="Punkt",NOT(ISNUMBER(L65))),"",IF(F65="Mindestprognose",IF(L65&gt;=I65,1,0),IF(AND(ISNUMBER(I65),ISNUMBER(J65),I65&lt;&gt;J65),IF(AND(L65&gt;=I65,L65&lt;=J65),1,0),"")))</f>
        <v>1</v>
      </c>
      <c r="W65" s="18"/>
      <c r="X65" s="0" t="str">
        <f aca="false">IF(OR(F65="qualitativ",F65="fehlend",NOT(ISNUMBER(L65))),"nicht auswertbar",IF(F65="Punkt","Punktprognose",IF(AND(ISNUMBER(I65),ISNUMBER(J65),I65&lt;&gt;J65),IF(L65&lt;I65,"unterhalb",IF(L65&gt;J65,"oberhalb","innerhalb")),"nicht auswertbar")))</f>
        <v>innerhalb</v>
      </c>
      <c r="Y65" s="19" t="n">
        <f aca="false">IF(AND(ISNUMBER(S65),OR(G65="Marge %",G65="Wachstumsrate %")),ABS(S65),"")</f>
        <v>0.001</v>
      </c>
      <c r="Z65" s="0" t="str">
        <f aca="false">IFERROR(VLOOKUP(A65,Unternehmen!$A:$D,4,FALSE()),"")</f>
        <v>Automobile</v>
      </c>
    </row>
    <row r="66" customFormat="false" ht="15" hidden="false" customHeight="true" outlineLevel="0" collapsed="false">
      <c r="A66" s="15" t="s">
        <v>38</v>
      </c>
      <c r="B66" s="15" t="n">
        <v>2022</v>
      </c>
      <c r="C66" s="15" t="s">
        <v>15</v>
      </c>
      <c r="D66" s="15" t="s">
        <v>261</v>
      </c>
      <c r="E66" s="15" t="n">
        <v>101</v>
      </c>
      <c r="F66" s="15" t="s">
        <v>183</v>
      </c>
      <c r="G66" s="15" t="s">
        <v>177</v>
      </c>
      <c r="H66" s="15" t="s">
        <v>184</v>
      </c>
      <c r="I66" s="17" t="n">
        <v>38</v>
      </c>
      <c r="J66" s="17" t="n">
        <v>40</v>
      </c>
      <c r="K66" s="17" t="n">
        <f aca="false">L64</f>
        <v>33.8</v>
      </c>
      <c r="L66" s="17" t="n">
        <v>39.4</v>
      </c>
      <c r="M66" s="17" t="n">
        <f aca="false">L66-K66</f>
        <v>5.6</v>
      </c>
      <c r="N66" s="22" t="s">
        <v>164</v>
      </c>
      <c r="O66" s="15" t="s">
        <v>263</v>
      </c>
      <c r="P66" s="15" t="n">
        <v>105</v>
      </c>
      <c r="Q66" s="18"/>
      <c r="R66" s="25" t="n">
        <f aca="false">IF(NOT(ISNUMBER(I66)),"",IF(F66="Mindestprognose",I66,IF(ISNUMBER(J66),(I66+J66)/2,I66)))</f>
        <v>39</v>
      </c>
      <c r="S66" s="25" t="n">
        <f aca="false">IF(OR(R66="",NOT(ISNUMBER(L66))),"",R66-L66)</f>
        <v>-0.399999999999999</v>
      </c>
      <c r="T66" s="19" t="n">
        <f aca="false">IF(OR(S66="",G66&lt;&gt;"absolut",NOT(ISNUMBER(L66)),L66=0),"",S66/ABS(L66))</f>
        <v>-0.0101522842639594</v>
      </c>
      <c r="U66" s="19" t="n">
        <f aca="false">IF(T66="","",ABS(T66))</f>
        <v>0.0101522842639594</v>
      </c>
      <c r="V66" s="20" t="n">
        <f aca="false">IF(OR(F66="Punkt",NOT(ISNUMBER(L66))),"",IF(F66="Mindestprognose",IF(L66&gt;=I66,1,0),IF(AND(ISNUMBER(I66),ISNUMBER(J66),I66&lt;&gt;J66),IF(AND(L66&gt;=I66,L66&lt;=J66),1,0),"")))</f>
        <v>1</v>
      </c>
      <c r="W66" s="18"/>
      <c r="X66" s="0" t="str">
        <f aca="false">IF(OR(F66="qualitativ",F66="fehlend",NOT(ISNUMBER(L66))),"nicht auswertbar",IF(F66="Punkt","Punktprognose",IF(AND(ISNUMBER(I66),ISNUMBER(J66),I66&lt;&gt;J66),IF(L66&lt;I66,"unterhalb",IF(L66&gt;J66,"oberhalb","innerhalb")),"nicht auswertbar")))</f>
        <v>innerhalb</v>
      </c>
      <c r="Y66" s="25" t="str">
        <f aca="false">IF(AND(ISNUMBER(S66),OR(G66="Marge %",G66="Wachstumsrate %")),ABS(S66),"")</f>
        <v/>
      </c>
      <c r="Z66" s="0" t="str">
        <f aca="false">IFERROR(VLOOKUP(A66,Unternehmen!$A:$D,4,FALSE()),"")</f>
        <v>Automobile</v>
      </c>
    </row>
    <row r="67" customFormat="false" ht="15" hidden="false" customHeight="true" outlineLevel="0" collapsed="false">
      <c r="A67" s="15" t="s">
        <v>38</v>
      </c>
      <c r="B67" s="15" t="n">
        <v>2022</v>
      </c>
      <c r="C67" s="15" t="s">
        <v>158</v>
      </c>
      <c r="D67" s="15" t="s">
        <v>261</v>
      </c>
      <c r="E67" s="15" t="n">
        <v>101</v>
      </c>
      <c r="F67" s="15" t="s">
        <v>153</v>
      </c>
      <c r="G67" s="15" t="s">
        <v>159</v>
      </c>
      <c r="H67" s="15" t="s">
        <v>160</v>
      </c>
      <c r="I67" s="16" t="n">
        <v>0.055</v>
      </c>
      <c r="J67" s="16" t="n">
        <v>0.065</v>
      </c>
      <c r="K67" s="16" t="n">
        <f aca="false">L65</f>
        <v>0.056</v>
      </c>
      <c r="L67" s="16" t="n">
        <v>0.05</v>
      </c>
      <c r="M67" s="16" t="s">
        <v>264</v>
      </c>
      <c r="N67" s="22" t="s">
        <v>164</v>
      </c>
      <c r="O67" s="15" t="s">
        <v>263</v>
      </c>
      <c r="P67" s="15" t="n">
        <v>105</v>
      </c>
      <c r="Q67" s="18"/>
      <c r="R67" s="19" t="n">
        <f aca="false">IF(NOT(ISNUMBER(I67)),"",IF(F67="Mindestprognose",I67,IF(ISNUMBER(J67),(I67+J67)/2,I67)))</f>
        <v>0.06</v>
      </c>
      <c r="S67" s="19" t="n">
        <f aca="false">IF(OR(R67="",NOT(ISNUMBER(L67))),"",R67-L67)</f>
        <v>0.01</v>
      </c>
      <c r="T67" s="19" t="str">
        <f aca="false">IF(OR(S67="",G67&lt;&gt;"absolut",NOT(ISNUMBER(L67)),L67=0),"",S67/ABS(L67))</f>
        <v/>
      </c>
      <c r="U67" s="19" t="str">
        <f aca="false">IF(T67="","",ABS(T67))</f>
        <v/>
      </c>
      <c r="V67" s="20" t="n">
        <f aca="false">IF(OR(F67="Punkt",NOT(ISNUMBER(L67))),"",IF(F67="Mindestprognose",IF(L67&gt;=I67,1,0),IF(AND(ISNUMBER(I67),ISNUMBER(J67),I67&lt;&gt;J67),IF(AND(L67&gt;=I67,L67&lt;=J67),1,0),"")))</f>
        <v>0</v>
      </c>
      <c r="W67" s="18"/>
      <c r="X67" s="0" t="str">
        <f aca="false">IF(OR(F67="qualitativ",F67="fehlend",NOT(ISNUMBER(L67))),"nicht auswertbar",IF(F67="Punkt","Punktprognose",IF(AND(ISNUMBER(I67),ISNUMBER(J67),I67&lt;&gt;J67),IF(L67&lt;I67,"unterhalb",IF(L67&gt;J67,"oberhalb","innerhalb")),"nicht auswertbar")))</f>
        <v>unterhalb</v>
      </c>
      <c r="Y67" s="19" t="n">
        <f aca="false">IF(AND(ISNUMBER(S67),OR(G67="Marge %",G67="Wachstumsrate %")),ABS(S67),"")</f>
        <v>0.01</v>
      </c>
      <c r="Z67" s="0" t="str">
        <f aca="false">IFERROR(VLOOKUP(A67,Unternehmen!$A:$D,4,FALSE()),"")</f>
        <v>Automobile</v>
      </c>
    </row>
    <row r="68" customFormat="false" ht="15" hidden="false" customHeight="true" outlineLevel="0" collapsed="false">
      <c r="A68" s="15" t="s">
        <v>38</v>
      </c>
      <c r="B68" s="15" t="n">
        <v>2023</v>
      </c>
      <c r="C68" s="15" t="s">
        <v>15</v>
      </c>
      <c r="D68" s="15" t="s">
        <v>263</v>
      </c>
      <c r="E68" s="15" t="n">
        <v>106</v>
      </c>
      <c r="F68" s="15" t="s">
        <v>183</v>
      </c>
      <c r="G68" s="15" t="s">
        <v>177</v>
      </c>
      <c r="H68" s="15" t="s">
        <v>184</v>
      </c>
      <c r="I68" s="17" t="n">
        <v>42</v>
      </c>
      <c r="J68" s="17" t="n">
        <v>45</v>
      </c>
      <c r="K68" s="17" t="n">
        <f aca="false">L66</f>
        <v>39.4</v>
      </c>
      <c r="L68" s="17" t="n">
        <v>41.4</v>
      </c>
      <c r="M68" s="17" t="n">
        <f aca="false">L68-K68</f>
        <v>2</v>
      </c>
      <c r="N68" s="21" t="s">
        <v>265</v>
      </c>
      <c r="O68" s="15" t="s">
        <v>266</v>
      </c>
      <c r="P68" s="15" t="n">
        <v>112</v>
      </c>
      <c r="Q68" s="18"/>
      <c r="R68" s="25" t="n">
        <f aca="false">IF(NOT(ISNUMBER(I68)),"",IF(F68="Mindestprognose",I68,IF(ISNUMBER(J68),(I68+J68)/2,I68)))</f>
        <v>43.5</v>
      </c>
      <c r="S68" s="25" t="n">
        <f aca="false">IF(OR(R68="",NOT(ISNUMBER(L68))),"",R68-L68)</f>
        <v>2.1</v>
      </c>
      <c r="T68" s="19" t="n">
        <f aca="false">IF(OR(S68="",G68&lt;&gt;"absolut",NOT(ISNUMBER(L68)),L68=0),"",S68/ABS(L68))</f>
        <v>0.0507246376811595</v>
      </c>
      <c r="U68" s="19" t="n">
        <f aca="false">IF(T68="","",ABS(T68))</f>
        <v>0.0507246376811595</v>
      </c>
      <c r="V68" s="20" t="n">
        <f aca="false">IF(OR(F68="Punkt",NOT(ISNUMBER(L68))),"",IF(F68="Mindestprognose",IF(L68&gt;=I68,1,0),IF(AND(ISNUMBER(I68),ISNUMBER(J68),I68&lt;&gt;J68),IF(AND(L68&gt;=I68,L68&lt;=J68),1,0),"")))</f>
        <v>0</v>
      </c>
      <c r="W68" s="18"/>
      <c r="X68" s="0" t="str">
        <f aca="false">IF(OR(F68="qualitativ",F68="fehlend",NOT(ISNUMBER(L68))),"nicht auswertbar",IF(F68="Punkt","Punktprognose",IF(AND(ISNUMBER(I68),ISNUMBER(J68),I68&lt;&gt;J68),IF(L68&lt;I68,"unterhalb",IF(L68&gt;J68,"oberhalb","innerhalb")),"nicht auswertbar")))</f>
        <v>unterhalb</v>
      </c>
      <c r="Y68" s="25" t="str">
        <f aca="false">IF(AND(ISNUMBER(S68),OR(G68="Marge %",G68="Wachstumsrate %")),ABS(S68),"")</f>
        <v/>
      </c>
      <c r="Z68" s="0" t="str">
        <f aca="false">IFERROR(VLOOKUP(A68,Unternehmen!$A:$D,4,FALSE()),"")</f>
        <v>Automobile</v>
      </c>
    </row>
    <row r="69" customFormat="false" ht="15" hidden="false" customHeight="true" outlineLevel="0" collapsed="false">
      <c r="A69" s="15" t="s">
        <v>38</v>
      </c>
      <c r="B69" s="15" t="n">
        <v>2023</v>
      </c>
      <c r="C69" s="15" t="s">
        <v>158</v>
      </c>
      <c r="D69" s="15" t="s">
        <v>263</v>
      </c>
      <c r="E69" s="15" t="n">
        <v>106</v>
      </c>
      <c r="F69" s="15" t="s">
        <v>153</v>
      </c>
      <c r="G69" s="15" t="s">
        <v>159</v>
      </c>
      <c r="H69" s="15" t="s">
        <v>160</v>
      </c>
      <c r="I69" s="16" t="n">
        <v>0.055</v>
      </c>
      <c r="J69" s="16" t="n">
        <v>0.065</v>
      </c>
      <c r="K69" s="16" t="n">
        <f aca="false">L67</f>
        <v>0.05</v>
      </c>
      <c r="L69" s="16" t="n">
        <v>0.061</v>
      </c>
      <c r="M69" s="16" t="s">
        <v>267</v>
      </c>
      <c r="N69" s="22" t="s">
        <v>164</v>
      </c>
      <c r="O69" s="15" t="s">
        <v>266</v>
      </c>
      <c r="P69" s="15" t="n">
        <v>112</v>
      </c>
      <c r="Q69" s="18"/>
      <c r="R69" s="19" t="n">
        <f aca="false">IF(NOT(ISNUMBER(I69)),"",IF(F69="Mindestprognose",I69,IF(ISNUMBER(J69),(I69+J69)/2,I69)))</f>
        <v>0.06</v>
      </c>
      <c r="S69" s="19" t="n">
        <f aca="false">IF(OR(R69="",NOT(ISNUMBER(L69))),"",R69-L69)</f>
        <v>-0.001</v>
      </c>
      <c r="T69" s="19" t="str">
        <f aca="false">IF(OR(S69="",G69&lt;&gt;"absolut",NOT(ISNUMBER(L69)),L69=0),"",S69/ABS(L69))</f>
        <v/>
      </c>
      <c r="U69" s="19" t="str">
        <f aca="false">IF(T69="","",ABS(T69))</f>
        <v/>
      </c>
      <c r="V69" s="20" t="n">
        <f aca="false">IF(OR(F69="Punkt",NOT(ISNUMBER(L69))),"",IF(F69="Mindestprognose",IF(L69&gt;=I69,1,0),IF(AND(ISNUMBER(I69),ISNUMBER(J69),I69&lt;&gt;J69),IF(AND(L69&gt;=I69,L69&lt;=J69),1,0),"")))</f>
        <v>1</v>
      </c>
      <c r="W69" s="18"/>
      <c r="X69" s="0" t="str">
        <f aca="false">IF(OR(F69="qualitativ",F69="fehlend",NOT(ISNUMBER(L69))),"nicht auswertbar",IF(F69="Punkt","Punktprognose",IF(AND(ISNUMBER(I69),ISNUMBER(J69),I69&lt;&gt;J69),IF(L69&lt;I69,"unterhalb",IF(L69&gt;J69,"oberhalb","innerhalb")),"nicht auswertbar")))</f>
        <v>innerhalb</v>
      </c>
      <c r="Y69" s="19" t="n">
        <f aca="false">IF(AND(ISNUMBER(S69),OR(G69="Marge %",G69="Wachstumsrate %")),ABS(S69),"")</f>
        <v>0.001</v>
      </c>
      <c r="Z69" s="0" t="str">
        <f aca="false">IFERROR(VLOOKUP(A69,Unternehmen!$A:$D,4,FALSE()),"")</f>
        <v>Automobile</v>
      </c>
    </row>
    <row r="70" customFormat="false" ht="15" hidden="false" customHeight="true" outlineLevel="0" collapsed="false">
      <c r="A70" s="15" t="s">
        <v>38</v>
      </c>
      <c r="B70" s="15" t="n">
        <v>2024</v>
      </c>
      <c r="C70" s="15" t="s">
        <v>15</v>
      </c>
      <c r="D70" s="15" t="s">
        <v>266</v>
      </c>
      <c r="E70" s="15" t="n">
        <v>112</v>
      </c>
      <c r="F70" s="15" t="s">
        <v>183</v>
      </c>
      <c r="G70" s="15" t="s">
        <v>177</v>
      </c>
      <c r="H70" s="15" t="s">
        <v>184</v>
      </c>
      <c r="I70" s="17" t="n">
        <v>41</v>
      </c>
      <c r="J70" s="17" t="n">
        <v>44</v>
      </c>
      <c r="K70" s="17" t="n">
        <f aca="false">L68</f>
        <v>41.4</v>
      </c>
      <c r="L70" s="17" t="n">
        <v>39.7</v>
      </c>
      <c r="M70" s="17" t="n">
        <f aca="false">L70-K70</f>
        <v>-1.7</v>
      </c>
      <c r="N70" s="21" t="s">
        <v>268</v>
      </c>
      <c r="O70" s="15" t="s">
        <v>269</v>
      </c>
      <c r="P70" s="15" t="n">
        <v>94</v>
      </c>
      <c r="Q70" s="18"/>
      <c r="R70" s="25" t="n">
        <f aca="false">IF(NOT(ISNUMBER(I70)),"",IF(F70="Mindestprognose",I70,IF(ISNUMBER(J70),(I70+J70)/2,I70)))</f>
        <v>42.5</v>
      </c>
      <c r="S70" s="25" t="n">
        <f aca="false">IF(OR(R70="",NOT(ISNUMBER(L70))),"",R70-L70)</f>
        <v>2.8</v>
      </c>
      <c r="T70" s="19" t="n">
        <f aca="false">IF(OR(S70="",G70&lt;&gt;"absolut",NOT(ISNUMBER(L70)),L70=0),"",S70/ABS(L70))</f>
        <v>0.070528967254408</v>
      </c>
      <c r="U70" s="19" t="n">
        <f aca="false">IF(T70="","",ABS(T70))</f>
        <v>0.070528967254408</v>
      </c>
      <c r="V70" s="20" t="n">
        <f aca="false">IF(OR(F70="Punkt",NOT(ISNUMBER(L70))),"",IF(F70="Mindestprognose",IF(L70&gt;=I70,1,0),IF(AND(ISNUMBER(I70),ISNUMBER(J70),I70&lt;&gt;J70),IF(AND(L70&gt;=I70,L70&lt;=J70),1,0),"")))</f>
        <v>0</v>
      </c>
      <c r="W70" s="18"/>
      <c r="X70" s="0" t="str">
        <f aca="false">IF(OR(F70="qualitativ",F70="fehlend",NOT(ISNUMBER(L70))),"nicht auswertbar",IF(F70="Punkt","Punktprognose",IF(AND(ISNUMBER(I70),ISNUMBER(J70),I70&lt;&gt;J70),IF(L70&lt;I70,"unterhalb",IF(L70&gt;J70,"oberhalb","innerhalb")),"nicht auswertbar")))</f>
        <v>unterhalb</v>
      </c>
      <c r="Y70" s="25" t="str">
        <f aca="false">IF(AND(ISNUMBER(S70),OR(G70="Marge %",G70="Wachstumsrate %")),ABS(S70),"")</f>
        <v/>
      </c>
      <c r="Z70" s="0" t="str">
        <f aca="false">IFERROR(VLOOKUP(A70,Unternehmen!$A:$D,4,FALSE()),"")</f>
        <v>Automobile</v>
      </c>
    </row>
    <row r="71" customFormat="false" ht="15" hidden="false" customHeight="true" outlineLevel="0" collapsed="false">
      <c r="A71" s="15" t="s">
        <v>38</v>
      </c>
      <c r="B71" s="15" t="n">
        <v>2024</v>
      </c>
      <c r="C71" s="15" t="s">
        <v>158</v>
      </c>
      <c r="D71" s="15" t="s">
        <v>266</v>
      </c>
      <c r="E71" s="15" t="n">
        <v>112</v>
      </c>
      <c r="F71" s="15" t="s">
        <v>153</v>
      </c>
      <c r="G71" s="15" t="s">
        <v>159</v>
      </c>
      <c r="H71" s="15" t="s">
        <v>160</v>
      </c>
      <c r="I71" s="16" t="n">
        <v>0.06</v>
      </c>
      <c r="J71" s="16" t="n">
        <v>0.07</v>
      </c>
      <c r="K71" s="16" t="n">
        <f aca="false">L69</f>
        <v>0.061</v>
      </c>
      <c r="L71" s="16" t="n">
        <v>0.068</v>
      </c>
      <c r="M71" s="16" t="s">
        <v>270</v>
      </c>
      <c r="N71" s="22" t="s">
        <v>164</v>
      </c>
      <c r="O71" s="15" t="s">
        <v>269</v>
      </c>
      <c r="P71" s="15" t="n">
        <v>94</v>
      </c>
      <c r="Q71" s="18"/>
      <c r="R71" s="19" t="n">
        <f aca="false">IF(NOT(ISNUMBER(I71)),"",IF(F71="Mindestprognose",I71,IF(ISNUMBER(J71),(I71+J71)/2,I71)))</f>
        <v>0.065</v>
      </c>
      <c r="S71" s="19" t="n">
        <f aca="false">IF(OR(R71="",NOT(ISNUMBER(L71))),"",R71-L71)</f>
        <v>-0.003</v>
      </c>
      <c r="T71" s="19" t="str">
        <f aca="false">IF(OR(S71="",G71&lt;&gt;"absolut",NOT(ISNUMBER(L71)),L71=0),"",S71/ABS(L71))</f>
        <v/>
      </c>
      <c r="U71" s="19" t="str">
        <f aca="false">IF(T71="","",ABS(T71))</f>
        <v/>
      </c>
      <c r="V71" s="20" t="n">
        <f aca="false">IF(OR(F71="Punkt",NOT(ISNUMBER(L71))),"",IF(F71="Mindestprognose",IF(L71&gt;=I71,1,0),IF(AND(ISNUMBER(I71),ISNUMBER(J71),I71&lt;&gt;J71),IF(AND(L71&gt;=I71,L71&lt;=J71),1,0),"")))</f>
        <v>1</v>
      </c>
      <c r="W71" s="18"/>
      <c r="X71" s="0" t="str">
        <f aca="false">IF(OR(F71="qualitativ",F71="fehlend",NOT(ISNUMBER(L71))),"nicht auswertbar",IF(F71="Punkt","Punktprognose",IF(AND(ISNUMBER(I71),ISNUMBER(J71),I71&lt;&gt;J71),IF(L71&lt;I71,"unterhalb",IF(L71&gt;J71,"oberhalb","innerhalb")),"nicht auswertbar")))</f>
        <v>innerhalb</v>
      </c>
      <c r="Y71" s="19" t="n">
        <f aca="false">IF(AND(ISNUMBER(S71),OR(G71="Marge %",G71="Wachstumsrate %")),ABS(S71),"")</f>
        <v>0.003</v>
      </c>
      <c r="Z71" s="0" t="str">
        <f aca="false">IFERROR(VLOOKUP(A71,Unternehmen!$A:$D,4,FALSE()),"")</f>
        <v>Automobile</v>
      </c>
    </row>
    <row r="72" customFormat="false" ht="15" hidden="false" customHeight="true" outlineLevel="0" collapsed="false">
      <c r="A72" s="15" t="s">
        <v>40</v>
      </c>
      <c r="B72" s="15" t="n">
        <v>2020</v>
      </c>
      <c r="C72" s="15" t="s">
        <v>15</v>
      </c>
      <c r="D72" s="15" t="s">
        <v>271</v>
      </c>
      <c r="E72" s="28"/>
      <c r="F72" s="28" t="s">
        <v>206</v>
      </c>
      <c r="G72" s="28"/>
      <c r="H72" s="28"/>
      <c r="I72" s="24"/>
      <c r="J72" s="24"/>
      <c r="K72" s="24"/>
      <c r="L72" s="24"/>
      <c r="M72" s="24"/>
      <c r="N72" s="28"/>
      <c r="O72" s="28"/>
      <c r="P72" s="28"/>
      <c r="Q72" s="29" t="s">
        <v>272</v>
      </c>
      <c r="R72" s="25" t="str">
        <f aca="false">IF(NOT(ISNUMBER(I72)),"",IF(F72="Mindestprognose",I72,IF(ISNUMBER(J72),(I72+J72)/2,I72)))</f>
        <v/>
      </c>
      <c r="S72" s="25" t="str">
        <f aca="false">IF(OR(R72="",NOT(ISNUMBER(L72))),"",R72-L72)</f>
        <v/>
      </c>
      <c r="T72" s="19" t="str">
        <f aca="false">IF(OR(S72="",G72&lt;&gt;"absolut",NOT(ISNUMBER(L72)),L72=0),"",S72/ABS(L72))</f>
        <v/>
      </c>
      <c r="U72" s="19" t="str">
        <f aca="false">IF(T72="","",ABS(T72))</f>
        <v/>
      </c>
      <c r="V72" s="20" t="str">
        <f aca="false">IF(OR(F72="Punkt",NOT(ISNUMBER(L72))),"",IF(F72="Mindestprognose",IF(L72&gt;=I72,1,0),IF(AND(ISNUMBER(I72),ISNUMBER(J72),I72&lt;&gt;J72),IF(AND(L72&gt;=I72,L72&lt;=J72),1,0),"")))</f>
        <v/>
      </c>
      <c r="W72" s="18"/>
      <c r="X72" s="0" t="str">
        <f aca="false">IF(OR(F72="qualitativ",F72="fehlend",NOT(ISNUMBER(L72))),"nicht auswertbar",IF(F72="Punkt","Punktprognose",IF(AND(ISNUMBER(I72),ISNUMBER(J72),I72&lt;&gt;J72),IF(L72&lt;I72,"unterhalb",IF(L72&gt;J72,"oberhalb","innerhalb")),"nicht auswertbar")))</f>
        <v>nicht auswertbar</v>
      </c>
      <c r="Y72" s="25" t="str">
        <f aca="false">IF(AND(ISNUMBER(S72),OR(G72="Marge %",G72="Wachstumsrate %")),ABS(S72),"")</f>
        <v/>
      </c>
      <c r="Z72" s="0" t="str">
        <f aca="false">IFERROR(VLOOKUP(A72,Unternehmen!$A:$D,4,FALSE()),"")</f>
        <v>Chemie</v>
      </c>
    </row>
    <row r="73" customFormat="false" ht="15" hidden="false" customHeight="true" outlineLevel="0" collapsed="false">
      <c r="A73" s="15" t="s">
        <v>40</v>
      </c>
      <c r="B73" s="15" t="n">
        <v>2020</v>
      </c>
      <c r="C73" s="15" t="s">
        <v>158</v>
      </c>
      <c r="D73" s="15" t="s">
        <v>271</v>
      </c>
      <c r="E73" s="28"/>
      <c r="F73" s="28" t="s">
        <v>206</v>
      </c>
      <c r="G73" s="28"/>
      <c r="H73" s="28"/>
      <c r="I73" s="24"/>
      <c r="J73" s="24"/>
      <c r="K73" s="24"/>
      <c r="L73" s="24"/>
      <c r="M73" s="24"/>
      <c r="N73" s="28"/>
      <c r="O73" s="28"/>
      <c r="P73" s="28"/>
      <c r="Q73" s="18"/>
      <c r="R73" s="25" t="str">
        <f aca="false">IF(NOT(ISNUMBER(I73)),"",IF(F73="Mindestprognose",I73,IF(ISNUMBER(J73),(I73+J73)/2,I73)))</f>
        <v/>
      </c>
      <c r="S73" s="25" t="str">
        <f aca="false">IF(OR(R73="",NOT(ISNUMBER(L73))),"",R73-L73)</f>
        <v/>
      </c>
      <c r="T73" s="19" t="str">
        <f aca="false">IF(OR(S73="",G73&lt;&gt;"absolut",NOT(ISNUMBER(L73)),L73=0),"",S73/ABS(L73))</f>
        <v/>
      </c>
      <c r="U73" s="19" t="str">
        <f aca="false">IF(T73="","",ABS(T73))</f>
        <v/>
      </c>
      <c r="V73" s="20" t="str">
        <f aca="false">IF(OR(F73="Punkt",NOT(ISNUMBER(L73))),"",IF(F73="Mindestprognose",IF(L73&gt;=I73,1,0),IF(AND(ISNUMBER(I73),ISNUMBER(J73),I73&lt;&gt;J73),IF(AND(L73&gt;=I73,L73&lt;=J73),1,0),"")))</f>
        <v/>
      </c>
      <c r="W73" s="18"/>
      <c r="X73" s="0" t="str">
        <f aca="false">IF(OR(F73="qualitativ",F73="fehlend",NOT(ISNUMBER(L73))),"nicht auswertbar",IF(F73="Punkt","Punktprognose",IF(AND(ISNUMBER(I73),ISNUMBER(J73),I73&lt;&gt;J73),IF(L73&lt;I73,"unterhalb",IF(L73&gt;J73,"oberhalb","innerhalb")),"nicht auswertbar")))</f>
        <v>nicht auswertbar</v>
      </c>
      <c r="Y73" s="25" t="str">
        <f aca="false">IF(AND(ISNUMBER(S73),OR(G73="Marge %",G73="Wachstumsrate %")),ABS(S73),"")</f>
        <v/>
      </c>
      <c r="Z73" s="0" t="str">
        <f aca="false">IFERROR(VLOOKUP(A73,Unternehmen!$A:$D,4,FALSE()),"")</f>
        <v>Chemie</v>
      </c>
    </row>
    <row r="74" customFormat="false" ht="15" hidden="false" customHeight="true" outlineLevel="0" collapsed="false">
      <c r="A74" s="15" t="s">
        <v>40</v>
      </c>
      <c r="B74" s="15" t="n">
        <v>2021</v>
      </c>
      <c r="C74" s="15" t="s">
        <v>15</v>
      </c>
      <c r="D74" s="15" t="s">
        <v>273</v>
      </c>
      <c r="E74" s="28"/>
      <c r="F74" s="28" t="s">
        <v>206</v>
      </c>
      <c r="G74" s="28"/>
      <c r="H74" s="28"/>
      <c r="I74" s="24"/>
      <c r="J74" s="24"/>
      <c r="K74" s="24"/>
      <c r="L74" s="24"/>
      <c r="M74" s="24"/>
      <c r="N74" s="28"/>
      <c r="O74" s="28"/>
      <c r="P74" s="28"/>
      <c r="Q74" s="18"/>
      <c r="R74" s="25" t="str">
        <f aca="false">IF(NOT(ISNUMBER(I74)),"",IF(F74="Mindestprognose",I74,IF(ISNUMBER(J74),(I74+J74)/2,I74)))</f>
        <v/>
      </c>
      <c r="S74" s="25" t="str">
        <f aca="false">IF(OR(R74="",NOT(ISNUMBER(L74))),"",R74-L74)</f>
        <v/>
      </c>
      <c r="T74" s="19" t="str">
        <f aca="false">IF(OR(S74="",G74&lt;&gt;"absolut",NOT(ISNUMBER(L74)),L74=0),"",S74/ABS(L74))</f>
        <v/>
      </c>
      <c r="U74" s="19" t="str">
        <f aca="false">IF(T74="","",ABS(T74))</f>
        <v/>
      </c>
      <c r="V74" s="20" t="str">
        <f aca="false">IF(OR(F74="Punkt",NOT(ISNUMBER(L74))),"",IF(F74="Mindestprognose",IF(L74&gt;=I74,1,0),IF(AND(ISNUMBER(I74),ISNUMBER(J74),I74&lt;&gt;J74),IF(AND(L74&gt;=I74,L74&lt;=J74),1,0),"")))</f>
        <v/>
      </c>
      <c r="W74" s="18"/>
      <c r="X74" s="0" t="str">
        <f aca="false">IF(OR(F74="qualitativ",F74="fehlend",NOT(ISNUMBER(L74))),"nicht auswertbar",IF(F74="Punkt","Punktprognose",IF(AND(ISNUMBER(I74),ISNUMBER(J74),I74&lt;&gt;J74),IF(L74&lt;I74,"unterhalb",IF(L74&gt;J74,"oberhalb","innerhalb")),"nicht auswertbar")))</f>
        <v>nicht auswertbar</v>
      </c>
      <c r="Y74" s="25" t="str">
        <f aca="false">IF(AND(ISNUMBER(S74),OR(G74="Marge %",G74="Wachstumsrate %")),ABS(S74),"")</f>
        <v/>
      </c>
      <c r="Z74" s="0" t="str">
        <f aca="false">IFERROR(VLOOKUP(A74,Unternehmen!$A:$D,4,FALSE()),"")</f>
        <v>Chemie</v>
      </c>
    </row>
    <row r="75" customFormat="false" ht="15" hidden="false" customHeight="true" outlineLevel="0" collapsed="false">
      <c r="A75" s="15" t="s">
        <v>40</v>
      </c>
      <c r="B75" s="15" t="n">
        <v>2021</v>
      </c>
      <c r="C75" s="15" t="s">
        <v>158</v>
      </c>
      <c r="D75" s="15" t="s">
        <v>273</v>
      </c>
      <c r="E75" s="28"/>
      <c r="F75" s="28" t="s">
        <v>206</v>
      </c>
      <c r="G75" s="28"/>
      <c r="H75" s="28"/>
      <c r="I75" s="24"/>
      <c r="J75" s="24"/>
      <c r="K75" s="24"/>
      <c r="L75" s="24"/>
      <c r="M75" s="24"/>
      <c r="N75" s="28"/>
      <c r="O75" s="28"/>
      <c r="P75" s="28"/>
      <c r="Q75" s="18"/>
      <c r="R75" s="25" t="str">
        <f aca="false">IF(NOT(ISNUMBER(I75)),"",IF(F75="Mindestprognose",I75,IF(ISNUMBER(J75),(I75+J75)/2,I75)))</f>
        <v/>
      </c>
      <c r="S75" s="25" t="str">
        <f aca="false">IF(OR(R75="",NOT(ISNUMBER(L75))),"",R75-L75)</f>
        <v/>
      </c>
      <c r="T75" s="19" t="str">
        <f aca="false">IF(OR(S75="",G75&lt;&gt;"absolut",NOT(ISNUMBER(L75)),L75=0),"",S75/ABS(L75))</f>
        <v/>
      </c>
      <c r="U75" s="19" t="str">
        <f aca="false">IF(T75="","",ABS(T75))</f>
        <v/>
      </c>
      <c r="V75" s="20" t="str">
        <f aca="false">IF(OR(F75="Punkt",NOT(ISNUMBER(L75))),"",IF(F75="Mindestprognose",IF(L75&gt;=I75,1,0),IF(AND(ISNUMBER(I75),ISNUMBER(J75),I75&lt;&gt;J75),IF(AND(L75&gt;=I75,L75&lt;=J75),1,0),"")))</f>
        <v/>
      </c>
      <c r="W75" s="18"/>
      <c r="X75" s="0" t="str">
        <f aca="false">IF(OR(F75="qualitativ",F75="fehlend",NOT(ISNUMBER(L75))),"nicht auswertbar",IF(F75="Punkt","Punktprognose",IF(AND(ISNUMBER(I75),ISNUMBER(J75),I75&lt;&gt;J75),IF(L75&lt;I75,"unterhalb",IF(L75&gt;J75,"oberhalb","innerhalb")),"nicht auswertbar")))</f>
        <v>nicht auswertbar</v>
      </c>
      <c r="Y75" s="25" t="str">
        <f aca="false">IF(AND(ISNUMBER(S75),OR(G75="Marge %",G75="Wachstumsrate %")),ABS(S75),"")</f>
        <v/>
      </c>
      <c r="Z75" s="0" t="str">
        <f aca="false">IFERROR(VLOOKUP(A75,Unternehmen!$A:$D,4,FALSE()),"")</f>
        <v>Chemie</v>
      </c>
    </row>
    <row r="76" customFormat="false" ht="15" hidden="false" customHeight="true" outlineLevel="0" collapsed="false">
      <c r="A76" s="15" t="s">
        <v>40</v>
      </c>
      <c r="B76" s="15" t="n">
        <v>2022</v>
      </c>
      <c r="C76" s="15" t="s">
        <v>15</v>
      </c>
      <c r="D76" s="15" t="s">
        <v>274</v>
      </c>
      <c r="E76" s="28"/>
      <c r="F76" s="28" t="s">
        <v>206</v>
      </c>
      <c r="G76" s="28"/>
      <c r="H76" s="28"/>
      <c r="I76" s="24"/>
      <c r="J76" s="24"/>
      <c r="K76" s="24"/>
      <c r="L76" s="24"/>
      <c r="M76" s="24"/>
      <c r="N76" s="28"/>
      <c r="O76" s="28"/>
      <c r="P76" s="28"/>
      <c r="Q76" s="18" t="s">
        <v>275</v>
      </c>
      <c r="R76" s="25" t="str">
        <f aca="false">IF(NOT(ISNUMBER(I76)),"",IF(F76="Mindestprognose",I76,IF(ISNUMBER(J76),(I76+J76)/2,I76)))</f>
        <v/>
      </c>
      <c r="S76" s="25" t="str">
        <f aca="false">IF(OR(R76="",NOT(ISNUMBER(L76))),"",R76-L76)</f>
        <v/>
      </c>
      <c r="T76" s="19" t="str">
        <f aca="false">IF(OR(S76="",G76&lt;&gt;"absolut",NOT(ISNUMBER(L76)),L76=0),"",S76/ABS(L76))</f>
        <v/>
      </c>
      <c r="U76" s="19" t="str">
        <f aca="false">IF(T76="","",ABS(T76))</f>
        <v/>
      </c>
      <c r="V76" s="20" t="str">
        <f aca="false">IF(OR(F76="Punkt",NOT(ISNUMBER(L76))),"",IF(F76="Mindestprognose",IF(L76&gt;=I76,1,0),IF(AND(ISNUMBER(I76),ISNUMBER(J76),I76&lt;&gt;J76),IF(AND(L76&gt;=I76,L76&lt;=J76),1,0),"")))</f>
        <v/>
      </c>
      <c r="W76" s="18"/>
      <c r="X76" s="0" t="str">
        <f aca="false">IF(OR(F76="qualitativ",F76="fehlend",NOT(ISNUMBER(L76))),"nicht auswertbar",IF(F76="Punkt","Punktprognose",IF(AND(ISNUMBER(I76),ISNUMBER(J76),I76&lt;&gt;J76),IF(L76&lt;I76,"unterhalb",IF(L76&gt;J76,"oberhalb","innerhalb")),"nicht auswertbar")))</f>
        <v>nicht auswertbar</v>
      </c>
      <c r="Y76" s="25" t="str">
        <f aca="false">IF(AND(ISNUMBER(S76),OR(G76="Marge %",G76="Wachstumsrate %")),ABS(S76),"")</f>
        <v/>
      </c>
      <c r="Z76" s="0" t="str">
        <f aca="false">IFERROR(VLOOKUP(A76,Unternehmen!$A:$D,4,FALSE()),"")</f>
        <v>Chemie</v>
      </c>
    </row>
    <row r="77" customFormat="false" ht="15" hidden="false" customHeight="true" outlineLevel="0" collapsed="false">
      <c r="A77" s="15" t="s">
        <v>40</v>
      </c>
      <c r="B77" s="15" t="n">
        <v>2022</v>
      </c>
      <c r="C77" s="15" t="s">
        <v>158</v>
      </c>
      <c r="D77" s="15" t="s">
        <v>274</v>
      </c>
      <c r="E77" s="15" t="n">
        <v>144</v>
      </c>
      <c r="F77" s="15" t="s">
        <v>183</v>
      </c>
      <c r="G77" s="15" t="s">
        <v>177</v>
      </c>
      <c r="H77" s="15" t="s">
        <v>178</v>
      </c>
      <c r="I77" s="17" t="n">
        <v>2500</v>
      </c>
      <c r="J77" s="17" t="n">
        <v>3000</v>
      </c>
      <c r="K77" s="17" t="n">
        <v>3085</v>
      </c>
      <c r="L77" s="17" t="n">
        <v>1617</v>
      </c>
      <c r="M77" s="17" t="n">
        <f aca="false">L77-K77</f>
        <v>-1468</v>
      </c>
      <c r="N77" s="21" t="s">
        <v>276</v>
      </c>
      <c r="O77" s="15" t="s">
        <v>277</v>
      </c>
      <c r="P77" s="15" t="n">
        <v>152</v>
      </c>
      <c r="Q77" s="18"/>
      <c r="R77" s="25" t="n">
        <f aca="false">IF(NOT(ISNUMBER(I77)),"",IF(F77="Mindestprognose",I77,IF(ISNUMBER(J77),(I77+J77)/2,I77)))</f>
        <v>2750</v>
      </c>
      <c r="S77" s="25" t="n">
        <f aca="false">IF(OR(R77="",NOT(ISNUMBER(L77))),"",R77-L77)</f>
        <v>1133</v>
      </c>
      <c r="T77" s="19" t="n">
        <f aca="false">IF(OR(S77="",G77&lt;&gt;"absolut",NOT(ISNUMBER(L77)),L77=0),"",S77/ABS(L77))</f>
        <v>0.700680272108844</v>
      </c>
      <c r="U77" s="19" t="n">
        <f aca="false">IF(T77="","",ABS(T77))</f>
        <v>0.700680272108844</v>
      </c>
      <c r="V77" s="20" t="n">
        <f aca="false">IF(OR(F77="Punkt",NOT(ISNUMBER(L77))),"",IF(F77="Mindestprognose",IF(L77&gt;=I77,1,0),IF(AND(ISNUMBER(I77),ISNUMBER(J77),I77&lt;&gt;J77),IF(AND(L77&gt;=I77,L77&lt;=J77),1,0),"")))</f>
        <v>0</v>
      </c>
      <c r="W77" s="18"/>
      <c r="X77" s="0" t="str">
        <f aca="false">IF(OR(F77="qualitativ",F77="fehlend",NOT(ISNUMBER(L77))),"nicht auswertbar",IF(F77="Punkt","Punktprognose",IF(AND(ISNUMBER(I77),ISNUMBER(J77),I77&lt;&gt;J77),IF(L77&lt;I77,"unterhalb",IF(L77&gt;J77,"oberhalb","innerhalb")),"nicht auswertbar")))</f>
        <v>unterhalb</v>
      </c>
      <c r="Y77" s="25" t="str">
        <f aca="false">IF(AND(ISNUMBER(S77),OR(G77="Marge %",G77="Wachstumsrate %")),ABS(S77),"")</f>
        <v/>
      </c>
      <c r="Z77" s="0" t="str">
        <f aca="false">IFERROR(VLOOKUP(A77,Unternehmen!$A:$D,4,FALSE()),"")</f>
        <v>Chemie</v>
      </c>
    </row>
    <row r="78" customFormat="false" ht="15" hidden="false" customHeight="true" outlineLevel="0" collapsed="false">
      <c r="A78" s="15" t="s">
        <v>40</v>
      </c>
      <c r="B78" s="15" t="n">
        <v>2023</v>
      </c>
      <c r="C78" s="15" t="s">
        <v>15</v>
      </c>
      <c r="D78" s="28"/>
      <c r="E78" s="28"/>
      <c r="F78" s="28" t="s">
        <v>206</v>
      </c>
      <c r="G78" s="28"/>
      <c r="H78" s="28"/>
      <c r="I78" s="24"/>
      <c r="J78" s="24"/>
      <c r="K78" s="24"/>
      <c r="L78" s="24"/>
      <c r="M78" s="24"/>
      <c r="N78" s="28"/>
      <c r="O78" s="28"/>
      <c r="P78" s="28"/>
      <c r="Q78" s="18" t="s">
        <v>275</v>
      </c>
      <c r="R78" s="25" t="str">
        <f aca="false">IF(NOT(ISNUMBER(I78)),"",IF(F78="Mindestprognose",I78,IF(ISNUMBER(J78),(I78+J78)/2,I78)))</f>
        <v/>
      </c>
      <c r="S78" s="25" t="str">
        <f aca="false">IF(OR(R78="",NOT(ISNUMBER(L78))),"",R78-L78)</f>
        <v/>
      </c>
      <c r="T78" s="19" t="str">
        <f aca="false">IF(OR(S78="",G78&lt;&gt;"absolut",NOT(ISNUMBER(L78)),L78=0),"",S78/ABS(L78))</f>
        <v/>
      </c>
      <c r="U78" s="19" t="str">
        <f aca="false">IF(T78="","",ABS(T78))</f>
        <v/>
      </c>
      <c r="V78" s="20" t="str">
        <f aca="false">IF(OR(F78="Punkt",NOT(ISNUMBER(L78))),"",IF(F78="Mindestprognose",IF(L78&gt;=I78,1,0),IF(AND(ISNUMBER(I78),ISNUMBER(J78),I78&lt;&gt;J78),IF(AND(L78&gt;=I78,L78&lt;=J78),1,0),"")))</f>
        <v/>
      </c>
      <c r="W78" s="18"/>
      <c r="X78" s="0" t="str">
        <f aca="false">IF(OR(F78="qualitativ",F78="fehlend",NOT(ISNUMBER(L78))),"nicht auswertbar",IF(F78="Punkt","Punktprognose",IF(AND(ISNUMBER(I78),ISNUMBER(J78),I78&lt;&gt;J78),IF(L78&lt;I78,"unterhalb",IF(L78&gt;J78,"oberhalb","innerhalb")),"nicht auswertbar")))</f>
        <v>nicht auswertbar</v>
      </c>
      <c r="Y78" s="25" t="str">
        <f aca="false">IF(AND(ISNUMBER(S78),OR(G78="Marge %",G78="Wachstumsrate %")),ABS(S78),"")</f>
        <v/>
      </c>
      <c r="Z78" s="0" t="str">
        <f aca="false">IFERROR(VLOOKUP(A78,Unternehmen!$A:$D,4,FALSE()),"")</f>
        <v>Chemie</v>
      </c>
    </row>
    <row r="79" customFormat="false" ht="15" hidden="false" customHeight="true" outlineLevel="0" collapsed="false">
      <c r="A79" s="15" t="s">
        <v>40</v>
      </c>
      <c r="B79" s="15" t="n">
        <v>2023</v>
      </c>
      <c r="C79" s="15" t="s">
        <v>158</v>
      </c>
      <c r="D79" s="15" t="s">
        <v>277</v>
      </c>
      <c r="E79" s="15" t="n">
        <v>152</v>
      </c>
      <c r="F79" s="15" t="s">
        <v>187</v>
      </c>
      <c r="G79" s="15" t="s">
        <v>177</v>
      </c>
      <c r="H79" s="15" t="s">
        <v>178</v>
      </c>
      <c r="I79" s="24"/>
      <c r="J79" s="24"/>
      <c r="K79" s="17" t="n">
        <f aca="false">L77</f>
        <v>1617</v>
      </c>
      <c r="L79" s="17" t="n">
        <v>1080</v>
      </c>
      <c r="M79" s="17" t="n">
        <f aca="false">L79-K79</f>
        <v>-537</v>
      </c>
      <c r="N79" s="22" t="s">
        <v>164</v>
      </c>
      <c r="O79" s="15" t="s">
        <v>278</v>
      </c>
      <c r="P79" s="15" t="n">
        <v>84</v>
      </c>
      <c r="Q79" s="18"/>
      <c r="R79" s="25" t="str">
        <f aca="false">IF(NOT(ISNUMBER(I79)),"",IF(F79="Mindestprognose",I79,IF(ISNUMBER(J79),(I79+J79)/2,I79)))</f>
        <v/>
      </c>
      <c r="S79" s="25" t="str">
        <f aca="false">IF(OR(R79="",NOT(ISNUMBER(L79))),"",R79-L79)</f>
        <v/>
      </c>
      <c r="T79" s="19" t="str">
        <f aca="false">IF(OR(S79="",G79&lt;&gt;"absolut",NOT(ISNUMBER(L79)),L79=0),"",S79/ABS(L79))</f>
        <v/>
      </c>
      <c r="U79" s="19" t="str">
        <f aca="false">IF(T79="","",ABS(T79))</f>
        <v/>
      </c>
      <c r="V79" s="20" t="str">
        <f aca="false">IF(OR(F79="Punkt",NOT(ISNUMBER(L79))),"",IF(F79="Mindestprognose",IF(L79&gt;=I79,1,0),IF(AND(ISNUMBER(I79),ISNUMBER(J79),I79&lt;&gt;J79),IF(AND(L79&gt;=I79,L79&lt;=J79),1,0),"")))</f>
        <v/>
      </c>
      <c r="W79" s="18" t="s">
        <v>279</v>
      </c>
      <c r="X79" s="0" t="str">
        <f aca="false">IF(OR(F79="qualitativ",F79="fehlend",NOT(ISNUMBER(L79))),"nicht auswertbar",IF(F79="Punkt","Punktprognose",IF(AND(ISNUMBER(I79),ISNUMBER(J79),I79&lt;&gt;J79),IF(L79&lt;I79,"unterhalb",IF(L79&gt;J79,"oberhalb","innerhalb")),"nicht auswertbar")))</f>
        <v>nicht auswertbar</v>
      </c>
      <c r="Y79" s="25" t="str">
        <f aca="false">IF(AND(ISNUMBER(S79),OR(G79="Marge %",G79="Wachstumsrate %")),ABS(S79),"")</f>
        <v/>
      </c>
      <c r="Z79" s="0" t="str">
        <f aca="false">IFERROR(VLOOKUP(A79,Unternehmen!$A:$D,4,FALSE()),"")</f>
        <v>Chemie</v>
      </c>
    </row>
    <row r="80" customFormat="false" ht="15" hidden="false" customHeight="true" outlineLevel="0" collapsed="false">
      <c r="A80" s="15" t="s">
        <v>40</v>
      </c>
      <c r="B80" s="15" t="n">
        <v>2024</v>
      </c>
      <c r="C80" s="15" t="s">
        <v>15</v>
      </c>
      <c r="D80" s="28"/>
      <c r="E80" s="28"/>
      <c r="F80" s="28" t="s">
        <v>206</v>
      </c>
      <c r="G80" s="28"/>
      <c r="H80" s="28"/>
      <c r="I80" s="24"/>
      <c r="J80" s="24"/>
      <c r="K80" s="24"/>
      <c r="L80" s="24"/>
      <c r="M80" s="24"/>
      <c r="N80" s="28"/>
      <c r="O80" s="28"/>
      <c r="P80" s="28"/>
      <c r="Q80" s="18" t="s">
        <v>275</v>
      </c>
      <c r="R80" s="25" t="str">
        <f aca="false">IF(NOT(ISNUMBER(I80)),"",IF(F80="Mindestprognose",I80,IF(ISNUMBER(J80),(I80+J80)/2,I80)))</f>
        <v/>
      </c>
      <c r="S80" s="25" t="str">
        <f aca="false">IF(OR(R80="",NOT(ISNUMBER(L80))),"",R80-L80)</f>
        <v/>
      </c>
      <c r="T80" s="19" t="str">
        <f aca="false">IF(OR(S80="",G80&lt;&gt;"absolut",NOT(ISNUMBER(L80)),L80=0),"",S80/ABS(L80))</f>
        <v/>
      </c>
      <c r="U80" s="19" t="str">
        <f aca="false">IF(T80="","",ABS(T80))</f>
        <v/>
      </c>
      <c r="V80" s="20" t="str">
        <f aca="false">IF(OR(F80="Punkt",NOT(ISNUMBER(L80))),"",IF(F80="Mindestprognose",IF(L80&gt;=I80,1,0),IF(AND(ISNUMBER(I80),ISNUMBER(J80),I80&lt;&gt;J80),IF(AND(L80&gt;=I80,L80&lt;=J80),1,0),"")))</f>
        <v/>
      </c>
      <c r="W80" s="18"/>
      <c r="X80" s="0" t="str">
        <f aca="false">IF(OR(F80="qualitativ",F80="fehlend",NOT(ISNUMBER(L80))),"nicht auswertbar",IF(F80="Punkt","Punktprognose",IF(AND(ISNUMBER(I80),ISNUMBER(J80),I80&lt;&gt;J80),IF(L80&lt;I80,"unterhalb",IF(L80&gt;J80,"oberhalb","innerhalb")),"nicht auswertbar")))</f>
        <v>nicht auswertbar</v>
      </c>
      <c r="Y80" s="25" t="str">
        <f aca="false">IF(AND(ISNUMBER(S80),OR(G80="Marge %",G80="Wachstumsrate %")),ABS(S80),"")</f>
        <v/>
      </c>
      <c r="Z80" s="0" t="str">
        <f aca="false">IFERROR(VLOOKUP(A80,Unternehmen!$A:$D,4,FALSE()),"")</f>
        <v>Chemie</v>
      </c>
    </row>
    <row r="81" customFormat="false" ht="15" hidden="false" customHeight="true" outlineLevel="0" collapsed="false">
      <c r="A81" s="15" t="s">
        <v>40</v>
      </c>
      <c r="B81" s="15" t="n">
        <v>2024</v>
      </c>
      <c r="C81" s="15" t="s">
        <v>158</v>
      </c>
      <c r="D81" s="15" t="s">
        <v>278</v>
      </c>
      <c r="E81" s="15" t="n">
        <v>84</v>
      </c>
      <c r="F81" s="15" t="s">
        <v>183</v>
      </c>
      <c r="G81" s="15" t="s">
        <v>177</v>
      </c>
      <c r="H81" s="15" t="s">
        <v>178</v>
      </c>
      <c r="I81" s="17" t="n">
        <v>1000</v>
      </c>
      <c r="J81" s="17" t="n">
        <v>1600</v>
      </c>
      <c r="K81" s="17" t="n">
        <f aca="false">L79</f>
        <v>1080</v>
      </c>
      <c r="L81" s="17" t="n">
        <v>1071</v>
      </c>
      <c r="M81" s="17" t="n">
        <f aca="false">L81-K81</f>
        <v>-9</v>
      </c>
      <c r="N81" s="23" t="s">
        <v>174</v>
      </c>
      <c r="O81" s="15" t="s">
        <v>280</v>
      </c>
      <c r="P81" s="15" t="n">
        <v>90</v>
      </c>
      <c r="Q81" s="18"/>
      <c r="R81" s="25" t="n">
        <f aca="false">IF(NOT(ISNUMBER(I81)),"",IF(F81="Mindestprognose",I81,IF(ISNUMBER(J81),(I81+J81)/2,I81)))</f>
        <v>1300</v>
      </c>
      <c r="S81" s="25" t="n">
        <f aca="false">IF(OR(R81="",NOT(ISNUMBER(L81))),"",R81-L81)</f>
        <v>229</v>
      </c>
      <c r="T81" s="19" t="n">
        <f aca="false">IF(OR(S81="",G81&lt;&gt;"absolut",NOT(ISNUMBER(L81)),L81=0),"",S81/ABS(L81))</f>
        <v>0.213818860877684</v>
      </c>
      <c r="U81" s="19" t="n">
        <f aca="false">IF(T81="","",ABS(T81))</f>
        <v>0.213818860877684</v>
      </c>
      <c r="V81" s="20" t="n">
        <f aca="false">IF(OR(F81="Punkt",NOT(ISNUMBER(L81))),"",IF(F81="Mindestprognose",IF(L81&gt;=I81,1,0),IF(AND(ISNUMBER(I81),ISNUMBER(J81),I81&lt;&gt;J81),IF(AND(L81&gt;=I81,L81&lt;=J81),1,0),"")))</f>
        <v>1</v>
      </c>
      <c r="W81" s="18"/>
      <c r="X81" s="0" t="str">
        <f aca="false">IF(OR(F81="qualitativ",F81="fehlend",NOT(ISNUMBER(L81))),"nicht auswertbar",IF(F81="Punkt","Punktprognose",IF(AND(ISNUMBER(I81),ISNUMBER(J81),I81&lt;&gt;J81),IF(L81&lt;I81,"unterhalb",IF(L81&gt;J81,"oberhalb","innerhalb")),"nicht auswertbar")))</f>
        <v>innerhalb</v>
      </c>
      <c r="Y81" s="25" t="str">
        <f aca="false">IF(AND(ISNUMBER(S81),OR(G81="Marge %",G81="Wachstumsrate %")),ABS(S81),"")</f>
        <v/>
      </c>
      <c r="Z81" s="0" t="str">
        <f aca="false">IFERROR(VLOOKUP(A81,Unternehmen!$A:$D,4,FALSE()),"")</f>
        <v>Chemie</v>
      </c>
    </row>
    <row r="82" customFormat="false" ht="15" hidden="false" customHeight="true" outlineLevel="0" collapsed="false">
      <c r="A82" s="15" t="s">
        <v>43</v>
      </c>
      <c r="B82" s="15" t="n">
        <v>2020</v>
      </c>
      <c r="C82" s="15" t="s">
        <v>15</v>
      </c>
      <c r="D82" s="15" t="s">
        <v>281</v>
      </c>
      <c r="E82" s="15" t="n">
        <v>152</v>
      </c>
      <c r="F82" s="15" t="s">
        <v>187</v>
      </c>
      <c r="G82" s="15" t="s">
        <v>177</v>
      </c>
      <c r="H82" s="15" t="s">
        <v>184</v>
      </c>
      <c r="I82" s="24"/>
      <c r="J82" s="24"/>
      <c r="K82" s="17" t="n">
        <v>172.75</v>
      </c>
      <c r="L82" s="17" t="n">
        <v>154.31</v>
      </c>
      <c r="M82" s="17" t="n">
        <f aca="false">L82-K82</f>
        <v>-18.44</v>
      </c>
      <c r="N82" s="17" t="s">
        <v>282</v>
      </c>
      <c r="O82" s="15" t="s">
        <v>283</v>
      </c>
      <c r="P82" s="15" t="n">
        <v>2</v>
      </c>
      <c r="Q82" s="18"/>
      <c r="R82" s="25" t="str">
        <f aca="false">IF(NOT(ISNUMBER(I82)),"",IF(F82="Mindestprognose",I82,IF(ISNUMBER(J82),(I82+J82)/2,I82)))</f>
        <v/>
      </c>
      <c r="S82" s="25" t="str">
        <f aca="false">IF(OR(R82="",NOT(ISNUMBER(L82))),"",R82-L82)</f>
        <v/>
      </c>
      <c r="T82" s="19" t="str">
        <f aca="false">IF(OR(S82="",G82&lt;&gt;"absolut",NOT(ISNUMBER(L82)),L82=0),"",S82/ABS(L82))</f>
        <v/>
      </c>
      <c r="U82" s="19" t="str">
        <f aca="false">IF(T82="","",ABS(T82))</f>
        <v/>
      </c>
      <c r="V82" s="20" t="str">
        <f aca="false">IF(OR(F82="Punkt",NOT(ISNUMBER(L82))),"",IF(F82="Mindestprognose",IF(L82&gt;=I82,1,0),IF(AND(ISNUMBER(I82),ISNUMBER(J82),I82&lt;&gt;J82),IF(AND(L82&gt;=I82,L82&lt;=J82),1,0),"")))</f>
        <v/>
      </c>
      <c r="W82" s="18" t="s">
        <v>284</v>
      </c>
      <c r="X82" s="0" t="str">
        <f aca="false">IF(OR(F82="qualitativ",F82="fehlend",NOT(ISNUMBER(L82))),"nicht auswertbar",IF(F82="Punkt","Punktprognose",IF(AND(ISNUMBER(I82),ISNUMBER(J82),I82&lt;&gt;J82),IF(L82&lt;I82,"unterhalb",IF(L82&gt;J82,"oberhalb","innerhalb")),"nicht auswertbar")))</f>
        <v>nicht auswertbar</v>
      </c>
      <c r="Y82" s="25" t="str">
        <f aca="false">IF(AND(ISNUMBER(S82),OR(G82="Marge %",G82="Wachstumsrate %")),ABS(S82),"")</f>
        <v/>
      </c>
      <c r="Z82" s="0" t="str">
        <f aca="false">IFERROR(VLOOKUP(A82,Unternehmen!$A:$D,4,FALSE()),"")</f>
        <v>Automobile</v>
      </c>
    </row>
    <row r="83" customFormat="false" ht="15" hidden="false" customHeight="true" outlineLevel="0" collapsed="false">
      <c r="A83" s="15" t="s">
        <v>43</v>
      </c>
      <c r="B83" s="15" t="n">
        <v>2020</v>
      </c>
      <c r="C83" s="15" t="s">
        <v>158</v>
      </c>
      <c r="D83" s="15" t="s">
        <v>281</v>
      </c>
      <c r="E83" s="15" t="n">
        <v>153</v>
      </c>
      <c r="F83" s="15" t="s">
        <v>153</v>
      </c>
      <c r="G83" s="15" t="s">
        <v>159</v>
      </c>
      <c r="H83" s="15" t="s">
        <v>285</v>
      </c>
      <c r="I83" s="16" t="n">
        <v>0.04</v>
      </c>
      <c r="J83" s="16" t="n">
        <v>0.05</v>
      </c>
      <c r="K83" s="16" t="n">
        <v>0.058</v>
      </c>
      <c r="L83" s="16" t="n">
        <v>0.069</v>
      </c>
      <c r="M83" s="16" t="s">
        <v>267</v>
      </c>
      <c r="N83" s="23" t="s">
        <v>174</v>
      </c>
      <c r="O83" s="15" t="s">
        <v>283</v>
      </c>
      <c r="P83" s="15" t="n">
        <v>3</v>
      </c>
      <c r="Q83" s="18"/>
      <c r="R83" s="19" t="n">
        <f aca="false">IF(NOT(ISNUMBER(I83)),"",IF(F83="Mindestprognose",I83,IF(ISNUMBER(J83),(I83+J83)/2,I83)))</f>
        <v>0.045</v>
      </c>
      <c r="S83" s="19" t="n">
        <f aca="false">IF(OR(R83="",NOT(ISNUMBER(L83))),"",R83-L83)</f>
        <v>-0.024</v>
      </c>
      <c r="T83" s="19" t="str">
        <f aca="false">IF(OR(S83="",G83&lt;&gt;"absolut",NOT(ISNUMBER(L83)),L83=0),"",S83/ABS(L83))</f>
        <v/>
      </c>
      <c r="U83" s="19" t="str">
        <f aca="false">IF(T83="","",ABS(T83))</f>
        <v/>
      </c>
      <c r="V83" s="20" t="n">
        <f aca="false">IF(OR(F83="Punkt",NOT(ISNUMBER(L83))),"",IF(F83="Mindestprognose",IF(L83&gt;=I83,1,0),IF(AND(ISNUMBER(I83),ISNUMBER(J83),I83&lt;&gt;J83),IF(AND(L83&gt;=I83,L83&lt;=J83),1,0),"")))</f>
        <v>0</v>
      </c>
      <c r="W83" s="18"/>
      <c r="X83" s="0" t="str">
        <f aca="false">IF(OR(F83="qualitativ",F83="fehlend",NOT(ISNUMBER(L83))),"nicht auswertbar",IF(F83="Punkt","Punktprognose",IF(AND(ISNUMBER(I83),ISNUMBER(J83),I83&lt;&gt;J83),IF(L83&lt;I83,"unterhalb",IF(L83&gt;J83,"oberhalb","innerhalb")),"nicht auswertbar")))</f>
        <v>oberhalb</v>
      </c>
      <c r="Y83" s="19" t="n">
        <f aca="false">IF(AND(ISNUMBER(S83),OR(G83="Marge %",G83="Wachstumsrate %")),ABS(S83),"")</f>
        <v>0.024</v>
      </c>
      <c r="Z83" s="0" t="str">
        <f aca="false">IFERROR(VLOOKUP(A83,Unternehmen!$A:$D,4,FALSE()),"")</f>
        <v>Automobile</v>
      </c>
    </row>
    <row r="84" customFormat="false" ht="15" hidden="false" customHeight="true" outlineLevel="0" collapsed="false">
      <c r="A84" s="15" t="s">
        <v>43</v>
      </c>
      <c r="B84" s="15" t="n">
        <v>2021</v>
      </c>
      <c r="C84" s="15" t="s">
        <v>15</v>
      </c>
      <c r="D84" s="15" t="s">
        <v>283</v>
      </c>
      <c r="E84" s="15" t="n">
        <v>132</v>
      </c>
      <c r="F84" s="15" t="s">
        <v>187</v>
      </c>
      <c r="G84" s="15" t="s">
        <v>177</v>
      </c>
      <c r="H84" s="15" t="s">
        <v>184</v>
      </c>
      <c r="I84" s="24"/>
      <c r="J84" s="24"/>
      <c r="K84" s="17" t="n">
        <f aca="false">L82</f>
        <v>154.31</v>
      </c>
      <c r="L84" s="17" t="n">
        <v>167.97</v>
      </c>
      <c r="M84" s="17" t="n">
        <f aca="false">L84-K84</f>
        <v>13.66</v>
      </c>
      <c r="N84" s="32" t="s">
        <v>286</v>
      </c>
      <c r="O84" s="15" t="s">
        <v>287</v>
      </c>
      <c r="P84" s="15" t="n">
        <v>61</v>
      </c>
      <c r="Q84" s="18"/>
      <c r="R84" s="25" t="str">
        <f aca="false">IF(NOT(ISNUMBER(I84)),"",IF(F84="Mindestprognose",I84,IF(ISNUMBER(J84),(I84+J84)/2,I84)))</f>
        <v/>
      </c>
      <c r="S84" s="25" t="str">
        <f aca="false">IF(OR(R84="",NOT(ISNUMBER(L84))),"",R84-L84)</f>
        <v/>
      </c>
      <c r="T84" s="19" t="str">
        <f aca="false">IF(OR(S84="",G84&lt;&gt;"absolut",NOT(ISNUMBER(L84)),L84=0),"",S84/ABS(L84))</f>
        <v/>
      </c>
      <c r="U84" s="19" t="str">
        <f aca="false">IF(T84="","",ABS(T84))</f>
        <v/>
      </c>
      <c r="V84" s="20" t="str">
        <f aca="false">IF(OR(F84="Punkt",NOT(ISNUMBER(L84))),"",IF(F84="Mindestprognose",IF(L84&gt;=I84,1,0),IF(AND(ISNUMBER(I84),ISNUMBER(J84),I84&lt;&gt;J84),IF(AND(L84&gt;=I84,L84&lt;=J84),1,0),"")))</f>
        <v/>
      </c>
      <c r="W84" s="18" t="s">
        <v>288</v>
      </c>
      <c r="X84" s="0" t="str">
        <f aca="false">IF(OR(F84="qualitativ",F84="fehlend",NOT(ISNUMBER(L84))),"nicht auswertbar",IF(F84="Punkt","Punktprognose",IF(AND(ISNUMBER(I84),ISNUMBER(J84),I84&lt;&gt;J84),IF(L84&lt;I84,"unterhalb",IF(L84&gt;J84,"oberhalb","innerhalb")),"nicht auswertbar")))</f>
        <v>nicht auswertbar</v>
      </c>
      <c r="Y84" s="25" t="str">
        <f aca="false">IF(AND(ISNUMBER(S84),OR(G84="Marge %",G84="Wachstumsrate %")),ABS(S84),"")</f>
        <v/>
      </c>
      <c r="Z84" s="0" t="str">
        <f aca="false">IFERROR(VLOOKUP(A84,Unternehmen!$A:$D,4,FALSE()),"")</f>
        <v>Automobile</v>
      </c>
    </row>
    <row r="85" customFormat="false" ht="15" hidden="false" customHeight="true" outlineLevel="0" collapsed="false">
      <c r="A85" s="15" t="s">
        <v>43</v>
      </c>
      <c r="B85" s="15" t="n">
        <v>2021</v>
      </c>
      <c r="C85" s="15" t="s">
        <v>158</v>
      </c>
      <c r="D85" s="15" t="s">
        <v>283</v>
      </c>
      <c r="E85" s="15" t="n">
        <v>132</v>
      </c>
      <c r="F85" s="15" t="s">
        <v>153</v>
      </c>
      <c r="G85" s="15" t="s">
        <v>159</v>
      </c>
      <c r="H85" s="15" t="s">
        <v>285</v>
      </c>
      <c r="I85" s="16" t="n">
        <v>0.08</v>
      </c>
      <c r="J85" s="16" t="n">
        <v>0.1</v>
      </c>
      <c r="K85" s="16" t="n">
        <f aca="false">L83</f>
        <v>0.069</v>
      </c>
      <c r="L85" s="16" t="n">
        <v>0.127</v>
      </c>
      <c r="M85" s="16" t="s">
        <v>289</v>
      </c>
      <c r="N85" s="23" t="s">
        <v>174</v>
      </c>
      <c r="O85" s="15" t="s">
        <v>287</v>
      </c>
      <c r="P85" s="15" t="n">
        <v>346</v>
      </c>
      <c r="Q85" s="18"/>
      <c r="R85" s="19" t="n">
        <f aca="false">IF(NOT(ISNUMBER(I85)),"",IF(F85="Mindestprognose",I85,IF(ISNUMBER(J85),(I85+J85)/2,I85)))</f>
        <v>0.09</v>
      </c>
      <c r="S85" s="19" t="n">
        <f aca="false">IF(OR(R85="",NOT(ISNUMBER(L85))),"",R85-L85)</f>
        <v>-0.037</v>
      </c>
      <c r="T85" s="19" t="str">
        <f aca="false">IF(OR(S85="",G85&lt;&gt;"absolut",NOT(ISNUMBER(L85)),L85=0),"",S85/ABS(L85))</f>
        <v/>
      </c>
      <c r="U85" s="19" t="str">
        <f aca="false">IF(T85="","",ABS(T85))</f>
        <v/>
      </c>
      <c r="V85" s="20" t="n">
        <f aca="false">IF(OR(F85="Punkt",NOT(ISNUMBER(L85))),"",IF(F85="Mindestprognose",IF(L85&gt;=I85,1,0),IF(AND(ISNUMBER(I85),ISNUMBER(J85),I85&lt;&gt;J85),IF(AND(L85&gt;=I85,L85&lt;=J85),1,0),"")))</f>
        <v>0</v>
      </c>
      <c r="W85" s="18"/>
      <c r="X85" s="0" t="str">
        <f aca="false">IF(OR(F85="qualitativ",F85="fehlend",NOT(ISNUMBER(L85))),"nicht auswertbar",IF(F85="Punkt","Punktprognose",IF(AND(ISNUMBER(I85),ISNUMBER(J85),I85&lt;&gt;J85),IF(L85&lt;I85,"unterhalb",IF(L85&gt;J85,"oberhalb","innerhalb")),"nicht auswertbar")))</f>
        <v>oberhalb</v>
      </c>
      <c r="Y85" s="19" t="n">
        <f aca="false">IF(AND(ISNUMBER(S85),OR(G85="Marge %",G85="Wachstumsrate %")),ABS(S85),"")</f>
        <v>0.037</v>
      </c>
      <c r="Z85" s="0" t="str">
        <f aca="false">IFERROR(VLOOKUP(A85,Unternehmen!$A:$D,4,FALSE()),"")</f>
        <v>Automobile</v>
      </c>
    </row>
    <row r="86" customFormat="false" ht="15" hidden="false" customHeight="true" outlineLevel="0" collapsed="false">
      <c r="A86" s="15" t="s">
        <v>43</v>
      </c>
      <c r="B86" s="15" t="n">
        <v>2022</v>
      </c>
      <c r="C86" s="15" t="s">
        <v>15</v>
      </c>
      <c r="D86" s="15" t="s">
        <v>287</v>
      </c>
      <c r="E86" s="15" t="n">
        <v>152</v>
      </c>
      <c r="F86" s="15" t="s">
        <v>187</v>
      </c>
      <c r="G86" s="15" t="s">
        <v>177</v>
      </c>
      <c r="H86" s="15" t="s">
        <v>184</v>
      </c>
      <c r="I86" s="24"/>
      <c r="J86" s="24"/>
      <c r="K86" s="17" t="n">
        <v>133.893</v>
      </c>
      <c r="L86" s="17" t="n">
        <v>150.017</v>
      </c>
      <c r="M86" s="17" t="n">
        <f aca="false">L86-K86</f>
        <v>16.124</v>
      </c>
      <c r="N86" s="33" t="s">
        <v>290</v>
      </c>
      <c r="O86" s="15" t="s">
        <v>291</v>
      </c>
      <c r="P86" s="15" t="n">
        <v>57</v>
      </c>
      <c r="Q86" s="18"/>
      <c r="R86" s="25" t="str">
        <f aca="false">IF(NOT(ISNUMBER(I86)),"",IF(F86="Mindestprognose",I86,IF(ISNUMBER(J86),(I86+J86)/2,I86)))</f>
        <v/>
      </c>
      <c r="S86" s="25" t="str">
        <f aca="false">IF(OR(R86="",NOT(ISNUMBER(L86))),"",R86-L86)</f>
        <v/>
      </c>
      <c r="T86" s="19" t="str">
        <f aca="false">IF(OR(S86="",G86&lt;&gt;"absolut",NOT(ISNUMBER(L86)),L86=0),"",S86/ABS(L86))</f>
        <v/>
      </c>
      <c r="U86" s="19" t="str">
        <f aca="false">IF(T86="","",ABS(T86))</f>
        <v/>
      </c>
      <c r="V86" s="20" t="str">
        <f aca="false">IF(OR(F86="Punkt",NOT(ISNUMBER(L86))),"",IF(F86="Mindestprognose",IF(L86&gt;=I86,1,0),IF(AND(ISNUMBER(I86),ISNUMBER(J86),I86&lt;&gt;J86),IF(AND(L86&gt;=I86,L86&lt;=J86),1,0),"")))</f>
        <v/>
      </c>
      <c r="W86" s="18" t="s">
        <v>292</v>
      </c>
      <c r="X86" s="0" t="str">
        <f aca="false">IF(OR(F86="qualitativ",F86="fehlend",NOT(ISNUMBER(L86))),"nicht auswertbar",IF(F86="Punkt","Punktprognose",IF(AND(ISNUMBER(I86),ISNUMBER(J86),I86&lt;&gt;J86),IF(L86&lt;I86,"unterhalb",IF(L86&gt;J86,"oberhalb","innerhalb")),"nicht auswertbar")))</f>
        <v>nicht auswertbar</v>
      </c>
      <c r="Y86" s="25" t="str">
        <f aca="false">IF(AND(ISNUMBER(S86),OR(G86="Marge %",G86="Wachstumsrate %")),ABS(S86),"")</f>
        <v/>
      </c>
      <c r="Z86" s="0" t="str">
        <f aca="false">IFERROR(VLOOKUP(A86,Unternehmen!$A:$D,4,FALSE()),"")</f>
        <v>Automobile</v>
      </c>
    </row>
    <row r="87" customFormat="false" ht="15" hidden="false" customHeight="true" outlineLevel="0" collapsed="false">
      <c r="A87" s="15" t="s">
        <v>43</v>
      </c>
      <c r="B87" s="15" t="n">
        <v>2022</v>
      </c>
      <c r="C87" s="15" t="s">
        <v>158</v>
      </c>
      <c r="D87" s="15" t="s">
        <v>287</v>
      </c>
      <c r="E87" s="15" t="n">
        <v>152</v>
      </c>
      <c r="F87" s="15" t="s">
        <v>153</v>
      </c>
      <c r="G87" s="15" t="s">
        <v>159</v>
      </c>
      <c r="H87" s="15" t="s">
        <v>285</v>
      </c>
      <c r="I87" s="16" t="n">
        <v>0.115</v>
      </c>
      <c r="J87" s="16" t="n">
        <v>0.13</v>
      </c>
      <c r="K87" s="16" t="n">
        <v>0.131</v>
      </c>
      <c r="L87" s="16" t="n">
        <v>0.146</v>
      </c>
      <c r="M87" s="16" t="s">
        <v>293</v>
      </c>
      <c r="N87" s="23" t="s">
        <v>174</v>
      </c>
      <c r="O87" s="15" t="s">
        <v>291</v>
      </c>
      <c r="P87" s="15" t="n">
        <v>361</v>
      </c>
      <c r="Q87" s="18"/>
      <c r="R87" s="19" t="n">
        <f aca="false">IF(NOT(ISNUMBER(I87)),"",IF(F87="Mindestprognose",I87,IF(ISNUMBER(J87),(I87+J87)/2,I87)))</f>
        <v>0.1225</v>
      </c>
      <c r="S87" s="19" t="n">
        <f aca="false">IF(OR(R87="",NOT(ISNUMBER(L87))),"",R87-L87)</f>
        <v>-0.0235</v>
      </c>
      <c r="T87" s="19" t="str">
        <f aca="false">IF(OR(S87="",G87&lt;&gt;"absolut",NOT(ISNUMBER(L87)),L87=0),"",S87/ABS(L87))</f>
        <v/>
      </c>
      <c r="U87" s="19" t="str">
        <f aca="false">IF(T87="","",ABS(T87))</f>
        <v/>
      </c>
      <c r="V87" s="20" t="n">
        <f aca="false">IF(OR(F87="Punkt",NOT(ISNUMBER(L87))),"",IF(F87="Mindestprognose",IF(L87&gt;=I87,1,0),IF(AND(ISNUMBER(I87),ISNUMBER(J87),I87&lt;&gt;J87),IF(AND(L87&gt;=I87,L87&lt;=J87),1,0),"")))</f>
        <v>0</v>
      </c>
      <c r="W87" s="18"/>
      <c r="X87" s="0" t="str">
        <f aca="false">IF(OR(F87="qualitativ",F87="fehlend",NOT(ISNUMBER(L87))),"nicht auswertbar",IF(F87="Punkt","Punktprognose",IF(AND(ISNUMBER(I87),ISNUMBER(J87),I87&lt;&gt;J87),IF(L87&lt;I87,"unterhalb",IF(L87&gt;J87,"oberhalb","innerhalb")),"nicht auswertbar")))</f>
        <v>oberhalb</v>
      </c>
      <c r="Y87" s="19" t="n">
        <f aca="false">IF(AND(ISNUMBER(S87),OR(G87="Marge %",G87="Wachstumsrate %")),ABS(S87),"")</f>
        <v>0.0235</v>
      </c>
      <c r="Z87" s="0" t="str">
        <f aca="false">IFERROR(VLOOKUP(A87,Unternehmen!$A:$D,4,FALSE()),"")</f>
        <v>Automobile</v>
      </c>
    </row>
    <row r="88" customFormat="false" ht="15" hidden="false" customHeight="true" outlineLevel="0" collapsed="false">
      <c r="A88" s="15" t="s">
        <v>43</v>
      </c>
      <c r="B88" s="15" t="n">
        <v>2023</v>
      </c>
      <c r="C88" s="15" t="s">
        <v>15</v>
      </c>
      <c r="D88" s="15" t="s">
        <v>291</v>
      </c>
      <c r="E88" s="15" t="n">
        <v>137</v>
      </c>
      <c r="F88" s="15" t="s">
        <v>187</v>
      </c>
      <c r="G88" s="15" t="s">
        <v>177</v>
      </c>
      <c r="H88" s="15" t="s">
        <v>184</v>
      </c>
      <c r="I88" s="24"/>
      <c r="J88" s="24"/>
      <c r="K88" s="17" t="n">
        <f aca="false">L86</f>
        <v>150.017</v>
      </c>
      <c r="L88" s="17" t="n">
        <v>153.22</v>
      </c>
      <c r="M88" s="17" t="n">
        <f aca="false">L88-K88</f>
        <v>3.203</v>
      </c>
      <c r="N88" s="32" t="s">
        <v>294</v>
      </c>
      <c r="O88" s="15" t="s">
        <v>295</v>
      </c>
      <c r="P88" s="15" t="n">
        <v>129</v>
      </c>
      <c r="Q88" s="18"/>
      <c r="R88" s="25" t="str">
        <f aca="false">IF(NOT(ISNUMBER(I88)),"",IF(F88="Mindestprognose",I88,IF(ISNUMBER(J88),(I88+J88)/2,I88)))</f>
        <v/>
      </c>
      <c r="S88" s="25" t="str">
        <f aca="false">IF(OR(R88="",NOT(ISNUMBER(L88))),"",R88-L88)</f>
        <v/>
      </c>
      <c r="T88" s="19" t="str">
        <f aca="false">IF(OR(S88="",G88&lt;&gt;"absolut",NOT(ISNUMBER(L88)),L88=0),"",S88/ABS(L88))</f>
        <v/>
      </c>
      <c r="U88" s="19" t="str">
        <f aca="false">IF(T88="","",ABS(T88))</f>
        <v/>
      </c>
      <c r="V88" s="20" t="str">
        <f aca="false">IF(OR(F88="Punkt",NOT(ISNUMBER(L88))),"",IF(F88="Mindestprognose",IF(L88&gt;=I88,1,0),IF(AND(ISNUMBER(I88),ISNUMBER(J88),I88&lt;&gt;J88),IF(AND(L88&gt;=I88,L88&lt;=J88),1,0),"")))</f>
        <v/>
      </c>
      <c r="W88" s="18" t="s">
        <v>284</v>
      </c>
      <c r="X88" s="0" t="str">
        <f aca="false">IF(OR(F88="qualitativ",F88="fehlend",NOT(ISNUMBER(L88))),"nicht auswertbar",IF(F88="Punkt","Punktprognose",IF(AND(ISNUMBER(I88),ISNUMBER(J88),I88&lt;&gt;J88),IF(L88&lt;I88,"unterhalb",IF(L88&gt;J88,"oberhalb","innerhalb")),"nicht auswertbar")))</f>
        <v>nicht auswertbar</v>
      </c>
      <c r="Y88" s="25" t="str">
        <f aca="false">IF(AND(ISNUMBER(S88),OR(G88="Marge %",G88="Wachstumsrate %")),ABS(S88),"")</f>
        <v/>
      </c>
      <c r="Z88" s="0" t="str">
        <f aca="false">IFERROR(VLOOKUP(A88,Unternehmen!$A:$D,4,FALSE()),"")</f>
        <v>Automobile</v>
      </c>
    </row>
    <row r="89" customFormat="false" ht="15" hidden="false" customHeight="true" outlineLevel="0" collapsed="false">
      <c r="A89" s="15" t="s">
        <v>43</v>
      </c>
      <c r="B89" s="15" t="n">
        <v>2023</v>
      </c>
      <c r="C89" s="15" t="s">
        <v>158</v>
      </c>
      <c r="D89" s="15" t="s">
        <v>291</v>
      </c>
      <c r="E89" s="15" t="n">
        <v>136</v>
      </c>
      <c r="F89" s="15" t="s">
        <v>153</v>
      </c>
      <c r="G89" s="15" t="s">
        <v>159</v>
      </c>
      <c r="H89" s="15" t="s">
        <v>285</v>
      </c>
      <c r="I89" s="16" t="n">
        <v>0.12</v>
      </c>
      <c r="J89" s="16" t="n">
        <v>0.14</v>
      </c>
      <c r="K89" s="16" t="n">
        <f aca="false">L87</f>
        <v>0.146</v>
      </c>
      <c r="L89" s="16" t="n">
        <v>0.126</v>
      </c>
      <c r="M89" s="16" t="s">
        <v>259</v>
      </c>
      <c r="N89" s="22" t="s">
        <v>164</v>
      </c>
      <c r="O89" s="15" t="s">
        <v>295</v>
      </c>
      <c r="P89" s="15" t="n">
        <v>350</v>
      </c>
      <c r="Q89" s="18"/>
      <c r="R89" s="19" t="n">
        <f aca="false">IF(NOT(ISNUMBER(I89)),"",IF(F89="Mindestprognose",I89,IF(ISNUMBER(J89),(I89+J89)/2,I89)))</f>
        <v>0.13</v>
      </c>
      <c r="S89" s="19" t="n">
        <f aca="false">IF(OR(R89="",NOT(ISNUMBER(L89))),"",R89-L89)</f>
        <v>0.004</v>
      </c>
      <c r="T89" s="19" t="str">
        <f aca="false">IF(OR(S89="",G89&lt;&gt;"absolut",NOT(ISNUMBER(L89)),L89=0),"",S89/ABS(L89))</f>
        <v/>
      </c>
      <c r="U89" s="19" t="str">
        <f aca="false">IF(T89="","",ABS(T89))</f>
        <v/>
      </c>
      <c r="V89" s="20" t="n">
        <f aca="false">IF(OR(F89="Punkt",NOT(ISNUMBER(L89))),"",IF(F89="Mindestprognose",IF(L89&gt;=I89,1,0),IF(AND(ISNUMBER(I89),ISNUMBER(J89),I89&lt;&gt;J89),IF(AND(L89&gt;=I89,L89&lt;=J89),1,0),"")))</f>
        <v>1</v>
      </c>
      <c r="W89" s="18"/>
      <c r="X89" s="0" t="str">
        <f aca="false">IF(OR(F89="qualitativ",F89="fehlend",NOT(ISNUMBER(L89))),"nicht auswertbar",IF(F89="Punkt","Punktprognose",IF(AND(ISNUMBER(I89),ISNUMBER(J89),I89&lt;&gt;J89),IF(L89&lt;I89,"unterhalb",IF(L89&gt;J89,"oberhalb","innerhalb")),"nicht auswertbar")))</f>
        <v>innerhalb</v>
      </c>
      <c r="Y89" s="19" t="n">
        <f aca="false">IF(AND(ISNUMBER(S89),OR(G89="Marge %",G89="Wachstumsrate %")),ABS(S89),"")</f>
        <v>0.004</v>
      </c>
      <c r="Z89" s="0" t="str">
        <f aca="false">IFERROR(VLOOKUP(A89,Unternehmen!$A:$D,4,FALSE()),"")</f>
        <v>Automobile</v>
      </c>
    </row>
    <row r="90" customFormat="false" ht="15" hidden="false" customHeight="true" outlineLevel="0" collapsed="false">
      <c r="A90" s="15" t="s">
        <v>43</v>
      </c>
      <c r="B90" s="15" t="n">
        <v>2024</v>
      </c>
      <c r="C90" s="15" t="s">
        <v>15</v>
      </c>
      <c r="D90" s="15" t="s">
        <v>295</v>
      </c>
      <c r="E90" s="15" t="n">
        <v>136</v>
      </c>
      <c r="F90" s="15" t="s">
        <v>187</v>
      </c>
      <c r="G90" s="15" t="s">
        <v>177</v>
      </c>
      <c r="H90" s="15" t="s">
        <v>184</v>
      </c>
      <c r="I90" s="24"/>
      <c r="J90" s="24"/>
      <c r="K90" s="17" t="n">
        <f aca="false">L88</f>
        <v>153.22</v>
      </c>
      <c r="L90" s="17" t="n">
        <v>145.59</v>
      </c>
      <c r="M90" s="17" t="n">
        <f aca="false">L90-K90</f>
        <v>-7.63</v>
      </c>
      <c r="N90" s="15" t="s">
        <v>296</v>
      </c>
      <c r="O90" s="15" t="s">
        <v>297</v>
      </c>
      <c r="P90" s="15" t="n">
        <v>82</v>
      </c>
      <c r="Q90" s="18"/>
      <c r="R90" s="25" t="str">
        <f aca="false">IF(NOT(ISNUMBER(I90)),"",IF(F90="Mindestprognose",I90,IF(ISNUMBER(J90),(I90+J90)/2,I90)))</f>
        <v/>
      </c>
      <c r="S90" s="25" t="str">
        <f aca="false">IF(OR(R90="",NOT(ISNUMBER(L90))),"",R90-L90)</f>
        <v/>
      </c>
      <c r="T90" s="19" t="str">
        <f aca="false">IF(OR(S90="",G90&lt;&gt;"absolut",NOT(ISNUMBER(L90)),L90=0),"",S90/ABS(L90))</f>
        <v/>
      </c>
      <c r="U90" s="19" t="str">
        <f aca="false">IF(T90="","",ABS(T90))</f>
        <v/>
      </c>
      <c r="V90" s="20" t="str">
        <f aca="false">IF(OR(F90="Punkt",NOT(ISNUMBER(L90))),"",IF(F90="Mindestprognose",IF(L90&gt;=I90,1,0),IF(AND(ISNUMBER(I90),ISNUMBER(J90),I90&lt;&gt;J90),IF(AND(L90&gt;=I90,L90&lt;=J90),1,0),"")))</f>
        <v/>
      </c>
      <c r="W90" s="18" t="s">
        <v>284</v>
      </c>
      <c r="X90" s="0" t="str">
        <f aca="false">IF(OR(F90="qualitativ",F90="fehlend",NOT(ISNUMBER(L90))),"nicht auswertbar",IF(F90="Punkt","Punktprognose",IF(AND(ISNUMBER(I90),ISNUMBER(J90),I90&lt;&gt;J90),IF(L90&lt;I90,"unterhalb",IF(L90&gt;J90,"oberhalb","innerhalb")),"nicht auswertbar")))</f>
        <v>nicht auswertbar</v>
      </c>
      <c r="Y90" s="25" t="str">
        <f aca="false">IF(AND(ISNUMBER(S90),OR(G90="Marge %",G90="Wachstumsrate %")),ABS(S90),"")</f>
        <v/>
      </c>
      <c r="Z90" s="0" t="str">
        <f aca="false">IFERROR(VLOOKUP(A90,Unternehmen!$A:$D,4,FALSE()),"")</f>
        <v>Automobile</v>
      </c>
    </row>
    <row r="91" customFormat="false" ht="15" hidden="false" customHeight="true" outlineLevel="0" collapsed="false">
      <c r="A91" s="15" t="s">
        <v>43</v>
      </c>
      <c r="B91" s="15" t="n">
        <v>2024</v>
      </c>
      <c r="C91" s="15" t="s">
        <v>158</v>
      </c>
      <c r="D91" s="15" t="s">
        <v>295</v>
      </c>
      <c r="E91" s="15" t="n">
        <v>137</v>
      </c>
      <c r="F91" s="15" t="s">
        <v>153</v>
      </c>
      <c r="G91" s="15" t="s">
        <v>159</v>
      </c>
      <c r="H91" s="15" t="s">
        <v>285</v>
      </c>
      <c r="I91" s="16" t="n">
        <v>0.1</v>
      </c>
      <c r="J91" s="16" t="n">
        <v>0.12</v>
      </c>
      <c r="K91" s="16" t="n">
        <f aca="false">L89</f>
        <v>0.126</v>
      </c>
      <c r="L91" s="16" t="n">
        <v>0.081</v>
      </c>
      <c r="M91" s="16" t="s">
        <v>298</v>
      </c>
      <c r="N91" s="15" t="s">
        <v>299</v>
      </c>
      <c r="O91" s="15" t="s">
        <v>297</v>
      </c>
      <c r="P91" s="15" t="n">
        <v>450</v>
      </c>
      <c r="Q91" s="18"/>
      <c r="R91" s="19" t="n">
        <f aca="false">IF(NOT(ISNUMBER(I91)),"",IF(F91="Mindestprognose",I91,IF(ISNUMBER(J91),(I91+J91)/2,I91)))</f>
        <v>0.11</v>
      </c>
      <c r="S91" s="19" t="n">
        <f aca="false">IF(OR(R91="",NOT(ISNUMBER(L91))),"",R91-L91)</f>
        <v>0.029</v>
      </c>
      <c r="T91" s="19" t="str">
        <f aca="false">IF(OR(S91="",G91&lt;&gt;"absolut",NOT(ISNUMBER(L91)),L91=0),"",S91/ABS(L91))</f>
        <v/>
      </c>
      <c r="U91" s="19" t="str">
        <f aca="false">IF(T91="","",ABS(T91))</f>
        <v/>
      </c>
      <c r="V91" s="20" t="n">
        <f aca="false">IF(OR(F91="Punkt",NOT(ISNUMBER(L91))),"",IF(F91="Mindestprognose",IF(L91&gt;=I91,1,0),IF(AND(ISNUMBER(I91),ISNUMBER(J91),I91&lt;&gt;J91),IF(AND(L91&gt;=I91,L91&lt;=J91),1,0),"")))</f>
        <v>0</v>
      </c>
      <c r="W91" s="18"/>
      <c r="X91" s="0" t="str">
        <f aca="false">IF(OR(F91="qualitativ",F91="fehlend",NOT(ISNUMBER(L91))),"nicht auswertbar",IF(F91="Punkt","Punktprognose",IF(AND(ISNUMBER(I91),ISNUMBER(J91),I91&lt;&gt;J91),IF(L91&lt;I91,"unterhalb",IF(L91&gt;J91,"oberhalb","innerhalb")),"nicht auswertbar")))</f>
        <v>unterhalb</v>
      </c>
      <c r="Y91" s="19" t="n">
        <f aca="false">IF(AND(ISNUMBER(S91),OR(G91="Marge %",G91="Wachstumsrate %")),ABS(S91),"")</f>
        <v>0.029</v>
      </c>
      <c r="Z91" s="0" t="str">
        <f aca="false">IFERROR(VLOOKUP(A91,Unternehmen!$A:$D,4,FALSE()),"")</f>
        <v>Automobile</v>
      </c>
    </row>
    <row r="92" customFormat="false" ht="15" hidden="false" customHeight="true" outlineLevel="0" collapsed="false">
      <c r="A92" s="15" t="s">
        <v>47</v>
      </c>
      <c r="B92" s="15" t="n">
        <v>2020</v>
      </c>
      <c r="C92" s="15" t="s">
        <v>15</v>
      </c>
      <c r="D92" s="15" t="s">
        <v>300</v>
      </c>
      <c r="E92" s="15" t="n">
        <v>40</v>
      </c>
      <c r="F92" s="15" t="s">
        <v>187</v>
      </c>
      <c r="G92" s="15" t="s">
        <v>177</v>
      </c>
      <c r="H92" s="15" t="s">
        <v>184</v>
      </c>
      <c r="I92" s="24"/>
      <c r="J92" s="24"/>
      <c r="K92" s="17" t="n">
        <v>23.165</v>
      </c>
      <c r="L92" s="17" t="n">
        <v>24.028</v>
      </c>
      <c r="M92" s="17" t="n">
        <f aca="false">L92-K92</f>
        <v>0.863</v>
      </c>
      <c r="N92" s="23" t="s">
        <v>174</v>
      </c>
      <c r="O92" s="15" t="s">
        <v>301</v>
      </c>
      <c r="P92" s="15" t="n">
        <v>299</v>
      </c>
      <c r="Q92" s="18"/>
      <c r="R92" s="25" t="str">
        <f aca="false">IF(NOT(ISNUMBER(I92)),"",IF(F92="Mindestprognose",I92,IF(ISNUMBER(J92),(I92+J92)/2,I92)))</f>
        <v/>
      </c>
      <c r="S92" s="25" t="str">
        <f aca="false">IF(OR(R92="",NOT(ISNUMBER(L92))),"",R92-L92)</f>
        <v/>
      </c>
      <c r="T92" s="19" t="str">
        <f aca="false">IF(OR(S92="",G92&lt;&gt;"absolut",NOT(ISNUMBER(L92)),L92=0),"",S92/ABS(L92))</f>
        <v/>
      </c>
      <c r="U92" s="19" t="str">
        <f aca="false">IF(T92="","",ABS(T92))</f>
        <v/>
      </c>
      <c r="V92" s="20" t="str">
        <f aca="false">IF(OR(F92="Punkt",NOT(ISNUMBER(L92))),"",IF(F92="Mindestprognose",IF(L92&gt;=I92,1,0),IF(AND(ISNUMBER(I92),ISNUMBER(J92),I92&lt;&gt;J92),IF(AND(L92&gt;=I92,L92&lt;=J92),1,0),"")))</f>
        <v/>
      </c>
      <c r="W92" s="18" t="s">
        <v>302</v>
      </c>
      <c r="X92" s="0" t="str">
        <f aca="false">IF(OR(F92="qualitativ",F92="fehlend",NOT(ISNUMBER(L92))),"nicht auswertbar",IF(F92="Punkt","Punktprognose",IF(AND(ISNUMBER(I92),ISNUMBER(J92),I92&lt;&gt;J92),IF(L92&lt;I92,"unterhalb",IF(L92&gt;J92,"oberhalb","innerhalb")),"nicht auswertbar")))</f>
        <v>nicht auswertbar</v>
      </c>
      <c r="Y92" s="25" t="str">
        <f aca="false">IF(AND(ISNUMBER(S92),OR(G92="Marge %",G92="Wachstumsrate %")),ABS(S92),"")</f>
        <v/>
      </c>
      <c r="Z92" s="0" t="str">
        <f aca="false">IFERROR(VLOOKUP(A92,Unternehmen!$A:$D,4,FALSE()),"")</f>
        <v>Banken</v>
      </c>
    </row>
    <row r="93" customFormat="false" ht="15" hidden="false" customHeight="true" outlineLevel="0" collapsed="false">
      <c r="A93" s="15" t="s">
        <v>47</v>
      </c>
      <c r="B93" s="15" t="n">
        <v>2020</v>
      </c>
      <c r="C93" s="15" t="s">
        <v>158</v>
      </c>
      <c r="D93" s="15" t="s">
        <v>300</v>
      </c>
      <c r="E93" s="15" t="n">
        <v>40</v>
      </c>
      <c r="F93" s="15" t="s">
        <v>187</v>
      </c>
      <c r="G93" s="15" t="s">
        <v>159</v>
      </c>
      <c r="H93" s="15" t="s">
        <v>285</v>
      </c>
      <c r="I93" s="24"/>
      <c r="J93" s="24"/>
      <c r="K93" s="16" t="n">
        <v>-0.109</v>
      </c>
      <c r="L93" s="16" t="n">
        <v>0.002</v>
      </c>
      <c r="M93" s="16" t="s">
        <v>303</v>
      </c>
      <c r="N93" s="33" t="s">
        <v>304</v>
      </c>
      <c r="O93" s="15" t="s">
        <v>301</v>
      </c>
      <c r="P93" s="15" t="n">
        <v>43</v>
      </c>
      <c r="Q93" s="18"/>
      <c r="R93" s="19" t="str">
        <f aca="false">IF(NOT(ISNUMBER(I93)),"",IF(F93="Mindestprognose",I93,IF(ISNUMBER(J93),(I93+J93)/2,I93)))</f>
        <v/>
      </c>
      <c r="S93" s="19" t="str">
        <f aca="false">IF(OR(R93="",NOT(ISNUMBER(L93))),"",R93-L93)</f>
        <v/>
      </c>
      <c r="T93" s="19" t="str">
        <f aca="false">IF(OR(S93="",G93&lt;&gt;"absolut",NOT(ISNUMBER(L93)),L93=0),"",S93/ABS(L93))</f>
        <v/>
      </c>
      <c r="U93" s="19" t="str">
        <f aca="false">IF(T93="","",ABS(T93))</f>
        <v/>
      </c>
      <c r="V93" s="20" t="str">
        <f aca="false">IF(OR(F93="Punkt",NOT(ISNUMBER(L93))),"",IF(F93="Mindestprognose",IF(L93&gt;=I93,1,0),IF(AND(ISNUMBER(I93),ISNUMBER(J93),I93&lt;&gt;J93),IF(AND(L93&gt;=I93,L93&lt;=J93),1,0),"")))</f>
        <v/>
      </c>
      <c r="W93" s="18" t="s">
        <v>305</v>
      </c>
      <c r="X93" s="0" t="str">
        <f aca="false">IF(OR(F93="qualitativ",F93="fehlend",NOT(ISNUMBER(L93))),"nicht auswertbar",IF(F93="Punkt","Punktprognose",IF(AND(ISNUMBER(I93),ISNUMBER(J93),I93&lt;&gt;J93),IF(L93&lt;I93,"unterhalb",IF(L93&gt;J93,"oberhalb","innerhalb")),"nicht auswertbar")))</f>
        <v>nicht auswertbar</v>
      </c>
      <c r="Y93" s="19" t="str">
        <f aca="false">IF(AND(ISNUMBER(S93),OR(G93="Marge %",G93="Wachstumsrate %")),ABS(S93),"")</f>
        <v/>
      </c>
      <c r="Z93" s="0" t="str">
        <f aca="false">IFERROR(VLOOKUP(A93,Unternehmen!$A:$D,4,FALSE()),"")</f>
        <v>Banken</v>
      </c>
    </row>
    <row r="94" customFormat="false" ht="15" hidden="false" customHeight="true" outlineLevel="0" collapsed="false">
      <c r="A94" s="15" t="s">
        <v>47</v>
      </c>
      <c r="B94" s="15" t="n">
        <v>2021</v>
      </c>
      <c r="C94" s="15" t="s">
        <v>15</v>
      </c>
      <c r="D94" s="15" t="s">
        <v>306</v>
      </c>
      <c r="E94" s="15" t="n">
        <v>43</v>
      </c>
      <c r="F94" s="15" t="s">
        <v>187</v>
      </c>
      <c r="G94" s="15" t="s">
        <v>177</v>
      </c>
      <c r="H94" s="15" t="s">
        <v>184</v>
      </c>
      <c r="I94" s="24"/>
      <c r="J94" s="24"/>
      <c r="K94" s="17" t="n">
        <v>24.028</v>
      </c>
      <c r="L94" s="17" t="n">
        <v>25.41</v>
      </c>
      <c r="M94" s="17" t="n">
        <f aca="false">L94-K94</f>
        <v>1.382</v>
      </c>
      <c r="N94" s="23" t="s">
        <v>174</v>
      </c>
      <c r="O94" s="15" t="s">
        <v>307</v>
      </c>
      <c r="P94" s="15" t="n">
        <v>267</v>
      </c>
      <c r="Q94" s="18"/>
      <c r="R94" s="25" t="str">
        <f aca="false">IF(NOT(ISNUMBER(I94)),"",IF(F94="Mindestprognose",I94,IF(ISNUMBER(J94),(I94+J94)/2,I94)))</f>
        <v/>
      </c>
      <c r="S94" s="25" t="str">
        <f aca="false">IF(OR(R94="",NOT(ISNUMBER(L94))),"",R94-L94)</f>
        <v/>
      </c>
      <c r="T94" s="19" t="str">
        <f aca="false">IF(OR(S94="",G94&lt;&gt;"absolut",NOT(ISNUMBER(L94)),L94=0),"",S94/ABS(L94))</f>
        <v/>
      </c>
      <c r="U94" s="19" t="str">
        <f aca="false">IF(T94="","",ABS(T94))</f>
        <v/>
      </c>
      <c r="V94" s="20" t="str">
        <f aca="false">IF(OR(F94="Punkt",NOT(ISNUMBER(L94))),"",IF(F94="Mindestprognose",IF(L94&gt;=I94,1,0),IF(AND(ISNUMBER(I94),ISNUMBER(J94),I94&lt;&gt;J94),IF(AND(L94&gt;=I94,L94&lt;=J94),1,0),"")))</f>
        <v/>
      </c>
      <c r="W94" s="18" t="s">
        <v>302</v>
      </c>
      <c r="X94" s="0" t="str">
        <f aca="false">IF(OR(F94="qualitativ",F94="fehlend",NOT(ISNUMBER(L94))),"nicht auswertbar",IF(F94="Punkt","Punktprognose",IF(AND(ISNUMBER(I94),ISNUMBER(J94),I94&lt;&gt;J94),IF(L94&lt;I94,"unterhalb",IF(L94&gt;J94,"oberhalb","innerhalb")),"nicht auswertbar")))</f>
        <v>nicht auswertbar</v>
      </c>
      <c r="Y94" s="25" t="str">
        <f aca="false">IF(AND(ISNUMBER(S94),OR(G94="Marge %",G94="Wachstumsrate %")),ABS(S94),"")</f>
        <v/>
      </c>
      <c r="Z94" s="0" t="str">
        <f aca="false">IFERROR(VLOOKUP(A94,Unternehmen!$A:$D,4,FALSE()),"")</f>
        <v>Banken</v>
      </c>
    </row>
    <row r="95" customFormat="false" ht="15" hidden="false" customHeight="true" outlineLevel="0" collapsed="false">
      <c r="A95" s="15" t="s">
        <v>47</v>
      </c>
      <c r="B95" s="15" t="n">
        <v>2021</v>
      </c>
      <c r="C95" s="15" t="s">
        <v>158</v>
      </c>
      <c r="D95" s="28"/>
      <c r="E95" s="28"/>
      <c r="F95" s="28" t="s">
        <v>206</v>
      </c>
      <c r="G95" s="28"/>
      <c r="H95" s="28"/>
      <c r="I95" s="24"/>
      <c r="J95" s="24"/>
      <c r="K95" s="24"/>
      <c r="L95" s="24"/>
      <c r="M95" s="24"/>
      <c r="N95" s="28"/>
      <c r="O95" s="28"/>
      <c r="P95" s="28"/>
      <c r="Q95" s="18"/>
      <c r="R95" s="25" t="str">
        <f aca="false">IF(NOT(ISNUMBER(I95)),"",IF(F95="Mindestprognose",I95,IF(ISNUMBER(J95),(I95+J95)/2,I95)))</f>
        <v/>
      </c>
      <c r="S95" s="25" t="str">
        <f aca="false">IF(OR(R95="",NOT(ISNUMBER(L95))),"",R95-L95)</f>
        <v/>
      </c>
      <c r="T95" s="19" t="str">
        <f aca="false">IF(OR(S95="",G95&lt;&gt;"absolut",NOT(ISNUMBER(L95)),L95=0),"",S95/ABS(L95))</f>
        <v/>
      </c>
      <c r="U95" s="19" t="str">
        <f aca="false">IF(T95="","",ABS(T95))</f>
        <v/>
      </c>
      <c r="V95" s="20" t="str">
        <f aca="false">IF(OR(F95="Punkt",NOT(ISNUMBER(L95))),"",IF(F95="Mindestprognose",IF(L95&gt;=I95,1,0),IF(AND(ISNUMBER(I95),ISNUMBER(J95),I95&lt;&gt;J95),IF(AND(L95&gt;=I95,L95&lt;=J95),1,0),"")))</f>
        <v/>
      </c>
      <c r="W95" s="18"/>
      <c r="X95" s="0" t="str">
        <f aca="false">IF(OR(F95="qualitativ",F95="fehlend",NOT(ISNUMBER(L95))),"nicht auswertbar",IF(F95="Punkt","Punktprognose",IF(AND(ISNUMBER(I95),ISNUMBER(J95),I95&lt;&gt;J95),IF(L95&lt;I95,"unterhalb",IF(L95&gt;J95,"oberhalb","innerhalb")),"nicht auswertbar")))</f>
        <v>nicht auswertbar</v>
      </c>
      <c r="Y95" s="25" t="str">
        <f aca="false">IF(AND(ISNUMBER(S95),OR(G95="Marge %",G95="Wachstumsrate %")),ABS(S95),"")</f>
        <v/>
      </c>
      <c r="Z95" s="0" t="str">
        <f aca="false">IFERROR(VLOOKUP(A95,Unternehmen!$A:$D,4,FALSE()),"")</f>
        <v>Banken</v>
      </c>
    </row>
    <row r="96" customFormat="false" ht="15" hidden="false" customHeight="true" outlineLevel="0" collapsed="false">
      <c r="A96" s="15" t="s">
        <v>47</v>
      </c>
      <c r="B96" s="15" t="n">
        <v>2022</v>
      </c>
      <c r="C96" s="15" t="s">
        <v>15</v>
      </c>
      <c r="D96" s="15" t="s">
        <v>307</v>
      </c>
      <c r="E96" s="15" t="n">
        <v>45</v>
      </c>
      <c r="F96" s="15" t="s">
        <v>153</v>
      </c>
      <c r="G96" s="15" t="s">
        <v>177</v>
      </c>
      <c r="H96" s="15" t="s">
        <v>184</v>
      </c>
      <c r="I96" s="17" t="n">
        <v>26</v>
      </c>
      <c r="J96" s="17" t="n">
        <v>27</v>
      </c>
      <c r="K96" s="17" t="n">
        <f aca="false">L94</f>
        <v>25.41</v>
      </c>
      <c r="L96" s="17" t="n">
        <v>27.21</v>
      </c>
      <c r="M96" s="17" t="n">
        <f aca="false">L96-K96</f>
        <v>1.8</v>
      </c>
      <c r="N96" s="23" t="s">
        <v>174</v>
      </c>
      <c r="O96" s="15" t="s">
        <v>308</v>
      </c>
      <c r="P96" s="15" t="n">
        <v>268</v>
      </c>
      <c r="Q96" s="18"/>
      <c r="R96" s="25" t="n">
        <f aca="false">IF(NOT(ISNUMBER(I96)),"",IF(F96="Mindestprognose",I96,IF(ISNUMBER(J96),(I96+J96)/2,I96)))</f>
        <v>26.5</v>
      </c>
      <c r="S96" s="25" t="n">
        <f aca="false">IF(OR(R96="",NOT(ISNUMBER(L96))),"",R96-L96)</f>
        <v>-0.710000000000001</v>
      </c>
      <c r="T96" s="19" t="n">
        <f aca="false">IF(OR(S96="",G96&lt;&gt;"absolut",NOT(ISNUMBER(L96)),L96=0),"",S96/ABS(L96))</f>
        <v>-0.0260933480338111</v>
      </c>
      <c r="U96" s="19" t="n">
        <f aca="false">IF(T96="","",ABS(T96))</f>
        <v>0.0260933480338111</v>
      </c>
      <c r="V96" s="20" t="n">
        <f aca="false">IF(OR(F96="Punkt",NOT(ISNUMBER(L96))),"",IF(F96="Mindestprognose",IF(L96&gt;=I96,1,0),IF(AND(ISNUMBER(I96),ISNUMBER(J96),I96&lt;&gt;J96),IF(AND(L96&gt;=I96,L96&lt;=J96),1,0),"")))</f>
        <v>0</v>
      </c>
      <c r="W96" s="18"/>
      <c r="X96" s="0" t="str">
        <f aca="false">IF(OR(F96="qualitativ",F96="fehlend",NOT(ISNUMBER(L96))),"nicht auswertbar",IF(F96="Punkt","Punktprognose",IF(AND(ISNUMBER(I96),ISNUMBER(J96),I96&lt;&gt;J96),IF(L96&lt;I96,"unterhalb",IF(L96&gt;J96,"oberhalb","innerhalb")),"nicht auswertbar")))</f>
        <v>oberhalb</v>
      </c>
      <c r="Y96" s="25" t="str">
        <f aca="false">IF(AND(ISNUMBER(S96),OR(G96="Marge %",G96="Wachstumsrate %")),ABS(S96),"")</f>
        <v/>
      </c>
      <c r="Z96" s="0" t="str">
        <f aca="false">IFERROR(VLOOKUP(A96,Unternehmen!$A:$D,4,FALSE()),"")</f>
        <v>Banken</v>
      </c>
    </row>
    <row r="97" customFormat="false" ht="15" hidden="false" customHeight="true" outlineLevel="0" collapsed="false">
      <c r="A97" s="15" t="s">
        <v>47</v>
      </c>
      <c r="B97" s="15" t="n">
        <v>2022</v>
      </c>
      <c r="C97" s="15" t="s">
        <v>158</v>
      </c>
      <c r="D97" s="15" t="s">
        <v>307</v>
      </c>
      <c r="E97" s="15" t="n">
        <v>45</v>
      </c>
      <c r="F97" s="15" t="s">
        <v>176</v>
      </c>
      <c r="G97" s="15" t="s">
        <v>159</v>
      </c>
      <c r="H97" s="15" t="s">
        <v>285</v>
      </c>
      <c r="I97" s="16" t="n">
        <v>0.08</v>
      </c>
      <c r="J97" s="16" t="n">
        <v>0.08</v>
      </c>
      <c r="K97" s="16" t="n">
        <v>0.038</v>
      </c>
      <c r="L97" s="16" t="n">
        <v>0.094</v>
      </c>
      <c r="M97" s="16" t="s">
        <v>309</v>
      </c>
      <c r="N97" s="23" t="s">
        <v>174</v>
      </c>
      <c r="O97" s="15" t="s">
        <v>308</v>
      </c>
      <c r="P97" s="15" t="n">
        <v>41</v>
      </c>
      <c r="Q97" s="18"/>
      <c r="R97" s="19" t="n">
        <f aca="false">IF(NOT(ISNUMBER(I97)),"",IF(F97="Mindestprognose",I97,IF(ISNUMBER(J97),(I97+J97)/2,I97)))</f>
        <v>0.08</v>
      </c>
      <c r="S97" s="19" t="n">
        <f aca="false">IF(OR(R97="",NOT(ISNUMBER(L97))),"",R97-L97)</f>
        <v>-0.014</v>
      </c>
      <c r="T97" s="19" t="str">
        <f aca="false">IF(OR(S97="",G97&lt;&gt;"absolut",NOT(ISNUMBER(L97)),L97=0),"",S97/ABS(L97))</f>
        <v/>
      </c>
      <c r="U97" s="19" t="str">
        <f aca="false">IF(T97="","",ABS(T97))</f>
        <v/>
      </c>
      <c r="V97" s="20" t="str">
        <f aca="false">IF(OR(F97="Punkt",NOT(ISNUMBER(L97))),"",IF(F97="Mindestprognose",IF(L97&gt;=I97,1,0),IF(AND(ISNUMBER(I97),ISNUMBER(J97),I97&lt;&gt;J97),IF(AND(L97&gt;=I97,L97&lt;=J97),1,0),"")))</f>
        <v/>
      </c>
      <c r="W97" s="18"/>
      <c r="X97" s="0" t="str">
        <f aca="false">IF(OR(F97="qualitativ",F97="fehlend",NOT(ISNUMBER(L97))),"nicht auswertbar",IF(F97="Punkt","Punktprognose",IF(AND(ISNUMBER(I97),ISNUMBER(J97),I97&lt;&gt;J97),IF(L97&lt;I97,"unterhalb",IF(L97&gt;J97,"oberhalb","innerhalb")),"nicht auswertbar")))</f>
        <v>Punktprognose</v>
      </c>
      <c r="Y97" s="19" t="n">
        <f aca="false">IF(AND(ISNUMBER(S97),OR(G97="Marge %",G97="Wachstumsrate %")),ABS(S97),"")</f>
        <v>0.014</v>
      </c>
      <c r="Z97" s="0" t="str">
        <f aca="false">IFERROR(VLOOKUP(A97,Unternehmen!$A:$D,4,FALSE()),"")</f>
        <v>Banken</v>
      </c>
    </row>
    <row r="98" customFormat="false" ht="15" hidden="false" customHeight="true" outlineLevel="0" collapsed="false">
      <c r="A98" s="15" t="s">
        <v>47</v>
      </c>
      <c r="B98" s="15" t="n">
        <v>2023</v>
      </c>
      <c r="C98" s="15" t="s">
        <v>15</v>
      </c>
      <c r="D98" s="15" t="s">
        <v>308</v>
      </c>
      <c r="E98" s="15" t="n">
        <v>41</v>
      </c>
      <c r="F98" s="15" t="s">
        <v>153</v>
      </c>
      <c r="G98" s="15" t="s">
        <v>177</v>
      </c>
      <c r="H98" s="15" t="s">
        <v>184</v>
      </c>
      <c r="I98" s="17" t="n">
        <v>28</v>
      </c>
      <c r="J98" s="17" t="n">
        <v>29</v>
      </c>
      <c r="K98" s="17" t="n">
        <f aca="false">L96</f>
        <v>27.21</v>
      </c>
      <c r="L98" s="17" t="n">
        <v>28.879</v>
      </c>
      <c r="M98" s="17" t="n">
        <f aca="false">L98-K98</f>
        <v>1.669</v>
      </c>
      <c r="N98" s="22" t="s">
        <v>164</v>
      </c>
      <c r="O98" s="15" t="s">
        <v>310</v>
      </c>
      <c r="P98" s="15" t="n">
        <v>13</v>
      </c>
      <c r="Q98" s="18"/>
      <c r="R98" s="25" t="n">
        <f aca="false">IF(NOT(ISNUMBER(I98)),"",IF(F98="Mindestprognose",I98,IF(ISNUMBER(J98),(I98+J98)/2,I98)))</f>
        <v>28.5</v>
      </c>
      <c r="S98" s="25" t="n">
        <f aca="false">IF(OR(R98="",NOT(ISNUMBER(L98))),"",R98-L98)</f>
        <v>-0.379000000000001</v>
      </c>
      <c r="T98" s="19" t="n">
        <f aca="false">IF(OR(S98="",G98&lt;&gt;"absolut",NOT(ISNUMBER(L98)),L98=0),"",S98/ABS(L98))</f>
        <v>-0.0131237231206067</v>
      </c>
      <c r="U98" s="19" t="n">
        <f aca="false">IF(T98="","",ABS(T98))</f>
        <v>0.0131237231206067</v>
      </c>
      <c r="V98" s="20" t="n">
        <f aca="false">IF(OR(F98="Punkt",NOT(ISNUMBER(L98))),"",IF(F98="Mindestprognose",IF(L98&gt;=I98,1,0),IF(AND(ISNUMBER(I98),ISNUMBER(J98),I98&lt;&gt;J98),IF(AND(L98&gt;=I98,L98&lt;=J98),1,0),"")))</f>
        <v>1</v>
      </c>
      <c r="W98" s="18"/>
      <c r="X98" s="0" t="str">
        <f aca="false">IF(OR(F98="qualitativ",F98="fehlend",NOT(ISNUMBER(L98))),"nicht auswertbar",IF(F98="Punkt","Punktprognose",IF(AND(ISNUMBER(I98),ISNUMBER(J98),I98&lt;&gt;J98),IF(L98&lt;I98,"unterhalb",IF(L98&gt;J98,"oberhalb","innerhalb")),"nicht auswertbar")))</f>
        <v>innerhalb</v>
      </c>
      <c r="Y98" s="25" t="str">
        <f aca="false">IF(AND(ISNUMBER(S98),OR(G98="Marge %",G98="Wachstumsrate %")),ABS(S98),"")</f>
        <v/>
      </c>
      <c r="Z98" s="0" t="str">
        <f aca="false">IFERROR(VLOOKUP(A98,Unternehmen!$A:$D,4,FALSE()),"")</f>
        <v>Banken</v>
      </c>
    </row>
    <row r="99" customFormat="false" ht="15" hidden="false" customHeight="true" outlineLevel="0" collapsed="false">
      <c r="A99" s="15" t="s">
        <v>47</v>
      </c>
      <c r="B99" s="15" t="n">
        <v>2023</v>
      </c>
      <c r="C99" s="15" t="s">
        <v>158</v>
      </c>
      <c r="D99" s="34"/>
      <c r="E99" s="34"/>
      <c r="F99" s="28" t="s">
        <v>206</v>
      </c>
      <c r="G99" s="28"/>
      <c r="H99" s="28"/>
      <c r="I99" s="35"/>
      <c r="J99" s="24"/>
      <c r="K99" s="24"/>
      <c r="L99" s="24"/>
      <c r="M99" s="24"/>
      <c r="N99" s="28"/>
      <c r="O99" s="28"/>
      <c r="P99" s="28"/>
      <c r="Q99" s="18"/>
      <c r="R99" s="25" t="str">
        <f aca="false">IF(NOT(ISNUMBER(I99)),"",IF(F99="Mindestprognose",I99,IF(ISNUMBER(J99),(I99+J99)/2,I99)))</f>
        <v/>
      </c>
      <c r="S99" s="25" t="str">
        <f aca="false">IF(OR(R99="",NOT(ISNUMBER(L99))),"",R99-L99)</f>
        <v/>
      </c>
      <c r="T99" s="19" t="str">
        <f aca="false">IF(OR(S99="",G99&lt;&gt;"absolut",NOT(ISNUMBER(L99)),L99=0),"",S99/ABS(L99))</f>
        <v/>
      </c>
      <c r="U99" s="19" t="str">
        <f aca="false">IF(T99="","",ABS(T99))</f>
        <v/>
      </c>
      <c r="V99" s="20" t="str">
        <f aca="false">IF(OR(F99="Punkt",NOT(ISNUMBER(L99))),"",IF(F99="Mindestprognose",IF(L99&gt;=I99,1,0),IF(AND(ISNUMBER(I99),ISNUMBER(J99),I99&lt;&gt;J99),IF(AND(L99&gt;=I99,L99&lt;=J99),1,0),"")))</f>
        <v/>
      </c>
      <c r="W99" s="18"/>
      <c r="X99" s="0" t="str">
        <f aca="false">IF(OR(F99="qualitativ",F99="fehlend",NOT(ISNUMBER(L99))),"nicht auswertbar",IF(F99="Punkt","Punktprognose",IF(AND(ISNUMBER(I99),ISNUMBER(J99),I99&lt;&gt;J99),IF(L99&lt;I99,"unterhalb",IF(L99&gt;J99,"oberhalb","innerhalb")),"nicht auswertbar")))</f>
        <v>nicht auswertbar</v>
      </c>
      <c r="Y99" s="25" t="str">
        <f aca="false">IF(AND(ISNUMBER(S99),OR(G99="Marge %",G99="Wachstumsrate %")),ABS(S99),"")</f>
        <v/>
      </c>
      <c r="Z99" s="0" t="str">
        <f aca="false">IFERROR(VLOOKUP(A99,Unternehmen!$A:$D,4,FALSE()),"")</f>
        <v>Banken</v>
      </c>
    </row>
    <row r="100" customFormat="false" ht="15" hidden="false" customHeight="true" outlineLevel="0" collapsed="false">
      <c r="A100" s="15" t="s">
        <v>47</v>
      </c>
      <c r="B100" s="15" t="n">
        <v>2024</v>
      </c>
      <c r="C100" s="15" t="s">
        <v>15</v>
      </c>
      <c r="D100" s="15" t="s">
        <v>310</v>
      </c>
      <c r="E100" s="15" t="n">
        <v>46</v>
      </c>
      <c r="F100" s="15" t="s">
        <v>176</v>
      </c>
      <c r="G100" s="15" t="s">
        <v>177</v>
      </c>
      <c r="H100" s="15" t="s">
        <v>184</v>
      </c>
      <c r="I100" s="17" t="n">
        <v>30</v>
      </c>
      <c r="J100" s="17" t="n">
        <v>30</v>
      </c>
      <c r="K100" s="17" t="n">
        <f aca="false">L98</f>
        <v>28.879</v>
      </c>
      <c r="L100" s="17" t="n">
        <v>30.092</v>
      </c>
      <c r="M100" s="17" t="n">
        <f aca="false">L100-K100</f>
        <v>1.213</v>
      </c>
      <c r="N100" s="22" t="s">
        <v>164</v>
      </c>
      <c r="O100" s="15" t="s">
        <v>311</v>
      </c>
      <c r="P100" s="15" t="n">
        <v>488</v>
      </c>
      <c r="Q100" s="18"/>
      <c r="R100" s="25" t="n">
        <f aca="false">IF(NOT(ISNUMBER(I100)),"",IF(F100="Mindestprognose",I100,IF(ISNUMBER(J100),(I100+J100)/2,I100)))</f>
        <v>30</v>
      </c>
      <c r="S100" s="25" t="n">
        <f aca="false">IF(OR(R100="",NOT(ISNUMBER(L100))),"",R100-L100)</f>
        <v>-0.0919999999999988</v>
      </c>
      <c r="T100" s="19" t="n">
        <f aca="false">IF(OR(S100="",G100&lt;&gt;"absolut",NOT(ISNUMBER(L100)),L100=0),"",S100/ABS(L100))</f>
        <v>-0.0030572909743453</v>
      </c>
      <c r="U100" s="19" t="n">
        <f aca="false">IF(T100="","",ABS(T100))</f>
        <v>0.0030572909743453</v>
      </c>
      <c r="V100" s="20" t="str">
        <f aca="false">IF(OR(F100="Punkt",NOT(ISNUMBER(L100))),"",IF(F100="Mindestprognose",IF(L100&gt;=I100,1,0),IF(AND(ISNUMBER(I100),ISNUMBER(J100),I100&lt;&gt;J100),IF(AND(L100&gt;=I100,L100&lt;=J100),1,0),"")))</f>
        <v/>
      </c>
      <c r="W100" s="18"/>
      <c r="X100" s="0" t="str">
        <f aca="false">IF(OR(F100="qualitativ",F100="fehlend",NOT(ISNUMBER(L100))),"nicht auswertbar",IF(F100="Punkt","Punktprognose",IF(AND(ISNUMBER(I100),ISNUMBER(J100),I100&lt;&gt;J100),IF(L100&lt;I100,"unterhalb",IF(L100&gt;J100,"oberhalb","innerhalb")),"nicht auswertbar")))</f>
        <v>Punktprognose</v>
      </c>
      <c r="Y100" s="25" t="str">
        <f aca="false">IF(AND(ISNUMBER(S100),OR(G100="Marge %",G100="Wachstumsrate %")),ABS(S100),"")</f>
        <v/>
      </c>
      <c r="Z100" s="0" t="str">
        <f aca="false">IFERROR(VLOOKUP(A100,Unternehmen!$A:$D,4,FALSE()),"")</f>
        <v>Banken</v>
      </c>
    </row>
    <row r="101" customFormat="false" ht="15" hidden="false" customHeight="true" outlineLevel="0" collapsed="false">
      <c r="A101" s="15" t="s">
        <v>47</v>
      </c>
      <c r="B101" s="15" t="n">
        <v>2024</v>
      </c>
      <c r="C101" s="15" t="s">
        <v>158</v>
      </c>
      <c r="D101" s="28"/>
      <c r="E101" s="28"/>
      <c r="F101" s="28" t="s">
        <v>206</v>
      </c>
      <c r="G101" s="28"/>
      <c r="H101" s="28"/>
      <c r="I101" s="24"/>
      <c r="J101" s="24"/>
      <c r="K101" s="24"/>
      <c r="L101" s="24"/>
      <c r="M101" s="24"/>
      <c r="N101" s="24"/>
      <c r="O101" s="28"/>
      <c r="P101" s="28"/>
      <c r="Q101" s="18"/>
      <c r="R101" s="25" t="str">
        <f aca="false">IF(NOT(ISNUMBER(I101)),"",IF(F101="Mindestprognose",I101,IF(ISNUMBER(J101),(I101+J101)/2,I101)))</f>
        <v/>
      </c>
      <c r="S101" s="25" t="str">
        <f aca="false">IF(OR(R101="",NOT(ISNUMBER(L101))),"",R101-L101)</f>
        <v/>
      </c>
      <c r="T101" s="19" t="str">
        <f aca="false">IF(OR(S101="",G101&lt;&gt;"absolut",NOT(ISNUMBER(L101)),L101=0),"",S101/ABS(L101))</f>
        <v/>
      </c>
      <c r="U101" s="19" t="str">
        <f aca="false">IF(T101="","",ABS(T101))</f>
        <v/>
      </c>
      <c r="V101" s="20" t="str">
        <f aca="false">IF(OR(F101="Punkt",NOT(ISNUMBER(L101))),"",IF(F101="Mindestprognose",IF(L101&gt;=I101,1,0),IF(AND(ISNUMBER(I101),ISNUMBER(J101),I101&lt;&gt;J101),IF(AND(L101&gt;=I101,L101&lt;=J101),1,0),"")))</f>
        <v/>
      </c>
      <c r="W101" s="18"/>
      <c r="X101" s="0" t="str">
        <f aca="false">IF(OR(F101="qualitativ",F101="fehlend",NOT(ISNUMBER(L101))),"nicht auswertbar",IF(F101="Punkt","Punktprognose",IF(AND(ISNUMBER(I101),ISNUMBER(J101),I101&lt;&gt;J101),IF(L101&lt;I101,"unterhalb",IF(L101&gt;J101,"oberhalb","innerhalb")),"nicht auswertbar")))</f>
        <v>nicht auswertbar</v>
      </c>
      <c r="Y101" s="25" t="str">
        <f aca="false">IF(AND(ISNUMBER(S101),OR(G101="Marge %",G101="Wachstumsrate %")),ABS(S101),"")</f>
        <v/>
      </c>
      <c r="Z101" s="0" t="str">
        <f aca="false">IFERROR(VLOOKUP(A101,Unternehmen!$A:$D,4,FALSE()),"")</f>
        <v>Banken</v>
      </c>
    </row>
    <row r="102" customFormat="false" ht="15" hidden="false" customHeight="true" outlineLevel="0" collapsed="false">
      <c r="A102" s="15" t="s">
        <v>53</v>
      </c>
      <c r="B102" s="15" t="n">
        <v>2020</v>
      </c>
      <c r="C102" s="15" t="s">
        <v>15</v>
      </c>
      <c r="D102" s="15" t="s">
        <v>312</v>
      </c>
      <c r="E102" s="15" t="n">
        <v>97</v>
      </c>
      <c r="F102" s="15" t="s">
        <v>176</v>
      </c>
      <c r="G102" s="15" t="s">
        <v>177</v>
      </c>
      <c r="H102" s="15" t="s">
        <v>184</v>
      </c>
      <c r="I102" s="17" t="n">
        <v>3.08</v>
      </c>
      <c r="J102" s="17" t="n">
        <v>3.08</v>
      </c>
      <c r="K102" s="17" t="n">
        <v>2.936</v>
      </c>
      <c r="L102" s="17" t="n">
        <v>3.2139</v>
      </c>
      <c r="M102" s="17" t="n">
        <f aca="false">L102-K102</f>
        <v>0.2779</v>
      </c>
      <c r="N102" s="22" t="s">
        <v>164</v>
      </c>
      <c r="O102" s="15" t="s">
        <v>313</v>
      </c>
      <c r="P102" s="15" t="n">
        <v>110</v>
      </c>
      <c r="Q102" s="18" t="s">
        <v>314</v>
      </c>
      <c r="R102" s="25" t="n">
        <f aca="false">IF(NOT(ISNUMBER(I102)),"",IF(F102="Mindestprognose",I102,IF(ISNUMBER(J102),(I102+J102)/2,I102)))</f>
        <v>3.08</v>
      </c>
      <c r="S102" s="25" t="n">
        <f aca="false">IF(OR(R102="",NOT(ISNUMBER(L102))),"",R102-L102)</f>
        <v>-0.1339</v>
      </c>
      <c r="T102" s="19" t="n">
        <f aca="false">IF(OR(S102="",G102&lt;&gt;"absolut",NOT(ISNUMBER(L102)),L102=0),"",S102/ABS(L102))</f>
        <v>-0.0416627773110551</v>
      </c>
      <c r="U102" s="19" t="n">
        <f aca="false">IF(T102="","",ABS(T102))</f>
        <v>0.0416627773110551</v>
      </c>
      <c r="V102" s="20" t="str">
        <f aca="false">IF(OR(F102="Punkt",NOT(ISNUMBER(L102))),"",IF(F102="Mindestprognose",IF(L102&gt;=I102,1,0),IF(AND(ISNUMBER(I102),ISNUMBER(J102),I102&lt;&gt;J102),IF(AND(L102&gt;=I102,L102&lt;=J102),1,0),"")))</f>
        <v/>
      </c>
      <c r="W102" s="18"/>
      <c r="X102" s="0" t="str">
        <f aca="false">IF(OR(F102="qualitativ",F102="fehlend",NOT(ISNUMBER(L102))),"nicht auswertbar",IF(F102="Punkt","Punktprognose",IF(AND(ISNUMBER(I102),ISNUMBER(J102),I102&lt;&gt;J102),IF(L102&lt;I102,"unterhalb",IF(L102&gt;J102,"oberhalb","innerhalb")),"nicht auswertbar")))</f>
        <v>Punktprognose</v>
      </c>
      <c r="Y102" s="25" t="str">
        <f aca="false">IF(AND(ISNUMBER(S102),OR(G102="Marge %",G102="Wachstumsrate %")),ABS(S102),"")</f>
        <v/>
      </c>
      <c r="Z102" s="0" t="str">
        <f aca="false">IFERROR(VLOOKUP(A102,Unternehmen!$A:$D,4,FALSE()),"")</f>
        <v>Finanzdienstleister</v>
      </c>
    </row>
    <row r="103" customFormat="false" ht="15" hidden="false" customHeight="true" outlineLevel="0" collapsed="false">
      <c r="A103" s="15" t="s">
        <v>53</v>
      </c>
      <c r="B103" s="15" t="n">
        <v>2020</v>
      </c>
      <c r="C103" s="15" t="s">
        <v>158</v>
      </c>
      <c r="D103" s="28"/>
      <c r="E103" s="28"/>
      <c r="F103" s="28" t="s">
        <v>206</v>
      </c>
      <c r="G103" s="28"/>
      <c r="H103" s="28"/>
      <c r="I103" s="24"/>
      <c r="J103" s="24"/>
      <c r="K103" s="24"/>
      <c r="L103" s="24"/>
      <c r="M103" s="24"/>
      <c r="N103" s="24"/>
      <c r="O103" s="28"/>
      <c r="P103" s="28"/>
      <c r="Q103" s="18"/>
      <c r="R103" s="25" t="str">
        <f aca="false">IF(NOT(ISNUMBER(I103)),"",IF(F103="Mindestprognose",I103,IF(ISNUMBER(J103),(I103+J103)/2,I103)))</f>
        <v/>
      </c>
      <c r="S103" s="25" t="str">
        <f aca="false">IF(OR(R103="",NOT(ISNUMBER(L103))),"",R103-L103)</f>
        <v/>
      </c>
      <c r="T103" s="19" t="str">
        <f aca="false">IF(OR(S103="",G103&lt;&gt;"absolut",NOT(ISNUMBER(L103)),L103=0),"",S103/ABS(L103))</f>
        <v/>
      </c>
      <c r="U103" s="19" t="str">
        <f aca="false">IF(T103="","",ABS(T103))</f>
        <v/>
      </c>
      <c r="V103" s="20" t="str">
        <f aca="false">IF(OR(F103="Punkt",NOT(ISNUMBER(L103))),"",IF(F103="Mindestprognose",IF(L103&gt;=I103,1,0),IF(AND(ISNUMBER(I103),ISNUMBER(J103),I103&lt;&gt;J103),IF(AND(L103&gt;=I103,L103&lt;=J103),1,0),"")))</f>
        <v/>
      </c>
      <c r="W103" s="18"/>
      <c r="X103" s="0" t="str">
        <f aca="false">IF(OR(F103="qualitativ",F103="fehlend",NOT(ISNUMBER(L103))),"nicht auswertbar",IF(F103="Punkt","Punktprognose",IF(AND(ISNUMBER(I103),ISNUMBER(J103),I103&lt;&gt;J103),IF(L103&lt;I103,"unterhalb",IF(L103&gt;J103,"oberhalb","innerhalb")),"nicht auswertbar")))</f>
        <v>nicht auswertbar</v>
      </c>
      <c r="Y103" s="25" t="str">
        <f aca="false">IF(AND(ISNUMBER(S103),OR(G103="Marge %",G103="Wachstumsrate %")),ABS(S103),"")</f>
        <v/>
      </c>
      <c r="Z103" s="0" t="str">
        <f aca="false">IFERROR(VLOOKUP(A103,Unternehmen!$A:$D,4,FALSE()),"")</f>
        <v>Finanzdienstleister</v>
      </c>
    </row>
    <row r="104" customFormat="false" ht="15" hidden="false" customHeight="true" outlineLevel="0" collapsed="false">
      <c r="A104" s="15" t="s">
        <v>53</v>
      </c>
      <c r="B104" s="15" t="n">
        <v>2021</v>
      </c>
      <c r="C104" s="15" t="s">
        <v>15</v>
      </c>
      <c r="D104" s="15" t="s">
        <v>313</v>
      </c>
      <c r="E104" s="15" t="n">
        <v>110</v>
      </c>
      <c r="F104" s="15" t="s">
        <v>176</v>
      </c>
      <c r="G104" s="15" t="s">
        <v>177</v>
      </c>
      <c r="H104" s="15" t="s">
        <v>184</v>
      </c>
      <c r="I104" s="17" t="n">
        <v>3.5</v>
      </c>
      <c r="J104" s="17" t="n">
        <v>3.5</v>
      </c>
      <c r="K104" s="17" t="n">
        <f aca="false">L102</f>
        <v>3.2139</v>
      </c>
      <c r="L104" s="17" t="n">
        <v>3.5095</v>
      </c>
      <c r="M104" s="17" t="n">
        <f aca="false">L104-K104</f>
        <v>0.2956</v>
      </c>
      <c r="N104" s="22" t="s">
        <v>164</v>
      </c>
      <c r="O104" s="15" t="s">
        <v>315</v>
      </c>
      <c r="P104" s="15" t="n">
        <v>115</v>
      </c>
      <c r="Q104" s="18"/>
      <c r="R104" s="25" t="n">
        <f aca="false">IF(NOT(ISNUMBER(I104)),"",IF(F104="Mindestprognose",I104,IF(ISNUMBER(J104),(I104+J104)/2,I104)))</f>
        <v>3.5</v>
      </c>
      <c r="S104" s="25" t="n">
        <f aca="false">IF(OR(R104="",NOT(ISNUMBER(L104))),"",R104-L104)</f>
        <v>-0.00950000000000006</v>
      </c>
      <c r="T104" s="19" t="n">
        <f aca="false">IF(OR(S104="",G104&lt;&gt;"absolut",NOT(ISNUMBER(L104)),L104=0),"",S104/ABS(L104))</f>
        <v>-0.00270693831030063</v>
      </c>
      <c r="U104" s="19" t="n">
        <f aca="false">IF(T104="","",ABS(T104))</f>
        <v>0.00270693831030063</v>
      </c>
      <c r="V104" s="20" t="str">
        <f aca="false">IF(OR(F104="Punkt",NOT(ISNUMBER(L104))),"",IF(F104="Mindestprognose",IF(L104&gt;=I104,1,0),IF(AND(ISNUMBER(I104),ISNUMBER(J104),I104&lt;&gt;J104),IF(AND(L104&gt;=I104,L104&lt;=J104),1,0),"")))</f>
        <v/>
      </c>
      <c r="W104" s="18"/>
      <c r="X104" s="0" t="str">
        <f aca="false">IF(OR(F104="qualitativ",F104="fehlend",NOT(ISNUMBER(L104))),"nicht auswertbar",IF(F104="Punkt","Punktprognose",IF(AND(ISNUMBER(I104),ISNUMBER(J104),I104&lt;&gt;J104),IF(L104&lt;I104,"unterhalb",IF(L104&gt;J104,"oberhalb","innerhalb")),"nicht auswertbar")))</f>
        <v>Punktprognose</v>
      </c>
      <c r="Y104" s="25" t="str">
        <f aca="false">IF(AND(ISNUMBER(S104),OR(G104="Marge %",G104="Wachstumsrate %")),ABS(S104),"")</f>
        <v/>
      </c>
      <c r="Z104" s="0" t="str">
        <f aca="false">IFERROR(VLOOKUP(A104,Unternehmen!$A:$D,4,FALSE()),"")</f>
        <v>Finanzdienstleister</v>
      </c>
    </row>
    <row r="105" customFormat="false" ht="15" hidden="false" customHeight="true" outlineLevel="0" collapsed="false">
      <c r="A105" s="15" t="s">
        <v>53</v>
      </c>
      <c r="B105" s="15" t="n">
        <v>2021</v>
      </c>
      <c r="C105" s="15" t="s">
        <v>158</v>
      </c>
      <c r="D105" s="15" t="s">
        <v>313</v>
      </c>
      <c r="E105" s="15" t="n">
        <v>110</v>
      </c>
      <c r="F105" s="15" t="s">
        <v>176</v>
      </c>
      <c r="G105" s="15" t="s">
        <v>177</v>
      </c>
      <c r="H105" s="15" t="s">
        <v>184</v>
      </c>
      <c r="I105" s="17" t="n">
        <v>2</v>
      </c>
      <c r="J105" s="17" t="n">
        <v>2</v>
      </c>
      <c r="K105" s="17" t="n">
        <v>1.8777</v>
      </c>
      <c r="L105" s="17" t="n">
        <v>2.0431</v>
      </c>
      <c r="M105" s="17" t="n">
        <f aca="false">L105-K105</f>
        <v>0.1654</v>
      </c>
      <c r="N105" s="22" t="s">
        <v>164</v>
      </c>
      <c r="O105" s="15" t="s">
        <v>315</v>
      </c>
      <c r="P105" s="15" t="n">
        <v>115</v>
      </c>
      <c r="Q105" s="18"/>
      <c r="R105" s="25" t="n">
        <f aca="false">IF(NOT(ISNUMBER(I105)),"",IF(F105="Mindestprognose",I105,IF(ISNUMBER(J105),(I105+J105)/2,I105)))</f>
        <v>2</v>
      </c>
      <c r="S105" s="25" t="n">
        <f aca="false">IF(OR(R105="",NOT(ISNUMBER(L105))),"",R105-L105)</f>
        <v>-0.0430999999999999</v>
      </c>
      <c r="T105" s="19" t="n">
        <f aca="false">IF(OR(S105="",G105&lt;&gt;"absolut",NOT(ISNUMBER(L105)),L105=0),"",S105/ABS(L105))</f>
        <v>-0.0210953942538299</v>
      </c>
      <c r="U105" s="19" t="n">
        <f aca="false">IF(T105="","",ABS(T105))</f>
        <v>0.0210953942538299</v>
      </c>
      <c r="V105" s="20" t="str">
        <f aca="false">IF(OR(F105="Punkt",NOT(ISNUMBER(L105))),"",IF(F105="Mindestprognose",IF(L105&gt;=I105,1,0),IF(AND(ISNUMBER(I105),ISNUMBER(J105),I105&lt;&gt;J105),IF(AND(L105&gt;=I105,L105&lt;=J105),1,0),"")))</f>
        <v/>
      </c>
      <c r="W105" s="18"/>
      <c r="X105" s="0" t="str">
        <f aca="false">IF(OR(F105="qualitativ",F105="fehlend",NOT(ISNUMBER(L105))),"nicht auswertbar",IF(F105="Punkt","Punktprognose",IF(AND(ISNUMBER(I105),ISNUMBER(J105),I105&lt;&gt;J105),IF(L105&lt;I105,"unterhalb",IF(L105&gt;J105,"oberhalb","innerhalb")),"nicht auswertbar")))</f>
        <v>Punktprognose</v>
      </c>
      <c r="Y105" s="25" t="str">
        <f aca="false">IF(AND(ISNUMBER(S105),OR(G105="Marge %",G105="Wachstumsrate %")),ABS(S105),"")</f>
        <v/>
      </c>
      <c r="Z105" s="0" t="str">
        <f aca="false">IFERROR(VLOOKUP(A105,Unternehmen!$A:$D,4,FALSE()),"")</f>
        <v>Finanzdienstleister</v>
      </c>
    </row>
    <row r="106" customFormat="false" ht="15" hidden="false" customHeight="true" outlineLevel="0" collapsed="false">
      <c r="A106" s="15" t="s">
        <v>53</v>
      </c>
      <c r="B106" s="15" t="n">
        <v>2022</v>
      </c>
      <c r="C106" s="15" t="s">
        <v>15</v>
      </c>
      <c r="D106" s="15" t="s">
        <v>315</v>
      </c>
      <c r="E106" s="15" t="n">
        <v>115</v>
      </c>
      <c r="F106" s="15" t="s">
        <v>176</v>
      </c>
      <c r="G106" s="15" t="s">
        <v>177</v>
      </c>
      <c r="H106" s="15" t="s">
        <v>184</v>
      </c>
      <c r="I106" s="17" t="n">
        <v>3.8</v>
      </c>
      <c r="J106" s="17" t="n">
        <v>3.8</v>
      </c>
      <c r="K106" s="17" t="n">
        <f aca="false">L104</f>
        <v>3.5095</v>
      </c>
      <c r="L106" s="17" t="n">
        <v>4.3376</v>
      </c>
      <c r="M106" s="17" t="n">
        <f aca="false">L106-K106</f>
        <v>0.8281</v>
      </c>
      <c r="N106" s="23" t="s">
        <v>174</v>
      </c>
      <c r="O106" s="15" t="s">
        <v>316</v>
      </c>
      <c r="P106" s="15" t="n">
        <v>92</v>
      </c>
      <c r="Q106" s="18"/>
      <c r="R106" s="25" t="n">
        <f aca="false">IF(NOT(ISNUMBER(I106)),"",IF(F106="Mindestprognose",I106,IF(ISNUMBER(J106),(I106+J106)/2,I106)))</f>
        <v>3.8</v>
      </c>
      <c r="S106" s="25" t="n">
        <f aca="false">IF(OR(R106="",NOT(ISNUMBER(L106))),"",R106-L106)</f>
        <v>-0.5376</v>
      </c>
      <c r="T106" s="19" t="n">
        <f aca="false">IF(OR(S106="",G106&lt;&gt;"absolut",NOT(ISNUMBER(L106)),L106=0),"",S106/ABS(L106))</f>
        <v>-0.123939505717448</v>
      </c>
      <c r="U106" s="19" t="n">
        <f aca="false">IF(T106="","",ABS(T106))</f>
        <v>0.123939505717448</v>
      </c>
      <c r="V106" s="20" t="str">
        <f aca="false">IF(OR(F106="Punkt",NOT(ISNUMBER(L106))),"",IF(F106="Mindestprognose",IF(L106&gt;=I106,1,0),IF(AND(ISNUMBER(I106),ISNUMBER(J106),I106&lt;&gt;J106),IF(AND(L106&gt;=I106,L106&lt;=J106),1,0),"")))</f>
        <v/>
      </c>
      <c r="W106" s="18"/>
      <c r="X106" s="0" t="str">
        <f aca="false">IF(OR(F106="qualitativ",F106="fehlend",NOT(ISNUMBER(L106))),"nicht auswertbar",IF(F106="Punkt","Punktprognose",IF(AND(ISNUMBER(I106),ISNUMBER(J106),I106&lt;&gt;J106),IF(L106&lt;I106,"unterhalb",IF(L106&gt;J106,"oberhalb","innerhalb")),"nicht auswertbar")))</f>
        <v>Punktprognose</v>
      </c>
      <c r="Y106" s="25" t="str">
        <f aca="false">IF(AND(ISNUMBER(S106),OR(G106="Marge %",G106="Wachstumsrate %")),ABS(S106),"")</f>
        <v/>
      </c>
      <c r="Z106" s="0" t="str">
        <f aca="false">IFERROR(VLOOKUP(A106,Unternehmen!$A:$D,4,FALSE()),"")</f>
        <v>Finanzdienstleister</v>
      </c>
    </row>
    <row r="107" customFormat="false" ht="15" hidden="false" customHeight="true" outlineLevel="0" collapsed="false">
      <c r="A107" s="15" t="s">
        <v>53</v>
      </c>
      <c r="B107" s="15" t="n">
        <v>2022</v>
      </c>
      <c r="C107" s="15" t="s">
        <v>158</v>
      </c>
      <c r="D107" s="15" t="s">
        <v>315</v>
      </c>
      <c r="E107" s="15" t="n">
        <v>115</v>
      </c>
      <c r="F107" s="15" t="s">
        <v>176</v>
      </c>
      <c r="G107" s="15" t="s">
        <v>177</v>
      </c>
      <c r="H107" s="15" t="s">
        <v>184</v>
      </c>
      <c r="I107" s="17" t="n">
        <v>2.2</v>
      </c>
      <c r="J107" s="17" t="n">
        <v>2.2</v>
      </c>
      <c r="K107" s="17" t="n">
        <f aca="false">L105</f>
        <v>2.0431</v>
      </c>
      <c r="L107" s="17" t="n">
        <v>2.5256</v>
      </c>
      <c r="M107" s="17" t="n">
        <f aca="false">L107-K107</f>
        <v>0.4825</v>
      </c>
      <c r="N107" s="23" t="s">
        <v>174</v>
      </c>
      <c r="O107" s="15" t="s">
        <v>316</v>
      </c>
      <c r="P107" s="15" t="n">
        <v>92</v>
      </c>
      <c r="Q107" s="18"/>
      <c r="R107" s="25" t="n">
        <f aca="false">IF(NOT(ISNUMBER(I107)),"",IF(F107="Mindestprognose",I107,IF(ISNUMBER(J107),(I107+J107)/2,I107)))</f>
        <v>2.2</v>
      </c>
      <c r="S107" s="25" t="n">
        <f aca="false">IF(OR(R107="",NOT(ISNUMBER(L107))),"",R107-L107)</f>
        <v>-0.3256</v>
      </c>
      <c r="T107" s="19" t="n">
        <f aca="false">IF(OR(S107="",G107&lt;&gt;"absolut",NOT(ISNUMBER(L107)),L107=0),"",S107/ABS(L107))</f>
        <v>-0.128919860627178</v>
      </c>
      <c r="U107" s="19" t="n">
        <f aca="false">IF(T107="","",ABS(T107))</f>
        <v>0.128919860627178</v>
      </c>
      <c r="V107" s="20" t="str">
        <f aca="false">IF(OR(F107="Punkt",NOT(ISNUMBER(L107))),"",IF(F107="Mindestprognose",IF(L107&gt;=I107,1,0),IF(AND(ISNUMBER(I107),ISNUMBER(J107),I107&lt;&gt;J107),IF(AND(L107&gt;=I107,L107&lt;=J107),1,0),"")))</f>
        <v/>
      </c>
      <c r="W107" s="18"/>
      <c r="X107" s="0" t="str">
        <f aca="false">IF(OR(F107="qualitativ",F107="fehlend",NOT(ISNUMBER(L107))),"nicht auswertbar",IF(F107="Punkt","Punktprognose",IF(AND(ISNUMBER(I107),ISNUMBER(J107),I107&lt;&gt;J107),IF(L107&lt;I107,"unterhalb",IF(L107&gt;J107,"oberhalb","innerhalb")),"nicht auswertbar")))</f>
        <v>Punktprognose</v>
      </c>
      <c r="Y107" s="25" t="str">
        <f aca="false">IF(AND(ISNUMBER(S107),OR(G107="Marge %",G107="Wachstumsrate %")),ABS(S107),"")</f>
        <v/>
      </c>
      <c r="Z107" s="0" t="str">
        <f aca="false">IFERROR(VLOOKUP(A107,Unternehmen!$A:$D,4,FALSE()),"")</f>
        <v>Finanzdienstleister</v>
      </c>
    </row>
    <row r="108" customFormat="false" ht="15" hidden="false" customHeight="true" outlineLevel="0" collapsed="false">
      <c r="A108" s="15" t="s">
        <v>53</v>
      </c>
      <c r="B108" s="15" t="n">
        <v>2023</v>
      </c>
      <c r="C108" s="15" t="s">
        <v>15</v>
      </c>
      <c r="D108" s="15" t="s">
        <v>316</v>
      </c>
      <c r="E108" s="15" t="n">
        <v>92</v>
      </c>
      <c r="F108" s="15" t="s">
        <v>153</v>
      </c>
      <c r="G108" s="15" t="s">
        <v>177</v>
      </c>
      <c r="H108" s="15" t="s">
        <v>184</v>
      </c>
      <c r="I108" s="17" t="n">
        <v>4.5</v>
      </c>
      <c r="J108" s="17" t="n">
        <v>4.7</v>
      </c>
      <c r="K108" s="17" t="n">
        <f aca="false">L106</f>
        <v>4.3376</v>
      </c>
      <c r="L108" s="17" t="n">
        <v>5.0766</v>
      </c>
      <c r="M108" s="17" t="n">
        <f aca="false">L108-K108</f>
        <v>0.739</v>
      </c>
      <c r="N108" s="23" t="s">
        <v>174</v>
      </c>
      <c r="O108" s="15" t="s">
        <v>317</v>
      </c>
      <c r="P108" s="15" t="n">
        <v>89</v>
      </c>
      <c r="Q108" s="18"/>
      <c r="R108" s="25" t="n">
        <f aca="false">IF(NOT(ISNUMBER(I108)),"",IF(F108="Mindestprognose",I108,IF(ISNUMBER(J108),(I108+J108)/2,I108)))</f>
        <v>4.6</v>
      </c>
      <c r="S108" s="25" t="n">
        <f aca="false">IF(OR(R108="",NOT(ISNUMBER(L108))),"",R108-L108)</f>
        <v>-0.4766</v>
      </c>
      <c r="T108" s="19" t="n">
        <f aca="false">IF(OR(S108="",G108&lt;&gt;"absolut",NOT(ISNUMBER(L108)),L108=0),"",S108/ABS(L108))</f>
        <v>-0.0938817318677856</v>
      </c>
      <c r="U108" s="19" t="n">
        <f aca="false">IF(T108="","",ABS(T108))</f>
        <v>0.0938817318677856</v>
      </c>
      <c r="V108" s="20" t="n">
        <f aca="false">IF(OR(F108="Punkt",NOT(ISNUMBER(L108))),"",IF(F108="Mindestprognose",IF(L108&gt;=I108,1,0),IF(AND(ISNUMBER(I108),ISNUMBER(J108),I108&lt;&gt;J108),IF(AND(L108&gt;=I108,L108&lt;=J108),1,0),"")))</f>
        <v>0</v>
      </c>
      <c r="W108" s="18"/>
      <c r="X108" s="0" t="str">
        <f aca="false">IF(OR(F108="qualitativ",F108="fehlend",NOT(ISNUMBER(L108))),"nicht auswertbar",IF(F108="Punkt","Punktprognose",IF(AND(ISNUMBER(I108),ISNUMBER(J108),I108&lt;&gt;J108),IF(L108&lt;I108,"unterhalb",IF(L108&gt;J108,"oberhalb","innerhalb")),"nicht auswertbar")))</f>
        <v>oberhalb</v>
      </c>
      <c r="Y108" s="25" t="str">
        <f aca="false">IF(AND(ISNUMBER(S108),OR(G108="Marge %",G108="Wachstumsrate %")),ABS(S108),"")</f>
        <v/>
      </c>
      <c r="Z108" s="0" t="str">
        <f aca="false">IFERROR(VLOOKUP(A108,Unternehmen!$A:$D,4,FALSE()),"")</f>
        <v>Finanzdienstleister</v>
      </c>
    </row>
    <row r="109" customFormat="false" ht="15" hidden="false" customHeight="true" outlineLevel="0" collapsed="false">
      <c r="A109" s="15" t="s">
        <v>53</v>
      </c>
      <c r="B109" s="15" t="n">
        <v>2023</v>
      </c>
      <c r="C109" s="15" t="s">
        <v>158</v>
      </c>
      <c r="D109" s="15" t="s">
        <v>316</v>
      </c>
      <c r="E109" s="15" t="n">
        <v>92</v>
      </c>
      <c r="F109" s="15" t="s">
        <v>153</v>
      </c>
      <c r="G109" s="15" t="s">
        <v>177</v>
      </c>
      <c r="H109" s="15" t="s">
        <v>184</v>
      </c>
      <c r="I109" s="17" t="n">
        <v>2.6</v>
      </c>
      <c r="J109" s="17" t="n">
        <v>2.8</v>
      </c>
      <c r="K109" s="17" t="n">
        <f aca="false">L107</f>
        <v>2.5256</v>
      </c>
      <c r="L109" s="17" t="n">
        <v>2.9443</v>
      </c>
      <c r="M109" s="17" t="n">
        <f aca="false">L109-K109</f>
        <v>0.4187</v>
      </c>
      <c r="N109" s="23" t="s">
        <v>174</v>
      </c>
      <c r="O109" s="15" t="s">
        <v>317</v>
      </c>
      <c r="P109" s="15" t="n">
        <v>89</v>
      </c>
      <c r="Q109" s="18"/>
      <c r="R109" s="25" t="n">
        <f aca="false">IF(NOT(ISNUMBER(I109)),"",IF(F109="Mindestprognose",I109,IF(ISNUMBER(J109),(I109+J109)/2,I109)))</f>
        <v>2.7</v>
      </c>
      <c r="S109" s="25" t="n">
        <f aca="false">IF(OR(R109="",NOT(ISNUMBER(L109))),"",R109-L109)</f>
        <v>-0.2443</v>
      </c>
      <c r="T109" s="19" t="n">
        <f aca="false">IF(OR(S109="",G109&lt;&gt;"absolut",NOT(ISNUMBER(L109)),L109=0),"",S109/ABS(L109))</f>
        <v>-0.0829738817375947</v>
      </c>
      <c r="U109" s="19" t="n">
        <f aca="false">IF(T109="","",ABS(T109))</f>
        <v>0.0829738817375947</v>
      </c>
      <c r="V109" s="20" t="n">
        <f aca="false">IF(OR(F109="Punkt",NOT(ISNUMBER(L109))),"",IF(F109="Mindestprognose",IF(L109&gt;=I109,1,0),IF(AND(ISNUMBER(I109),ISNUMBER(J109),I109&lt;&gt;J109),IF(AND(L109&gt;=I109,L109&lt;=J109),1,0),"")))</f>
        <v>0</v>
      </c>
      <c r="W109" s="18"/>
      <c r="X109" s="0" t="str">
        <f aca="false">IF(OR(F109="qualitativ",F109="fehlend",NOT(ISNUMBER(L109))),"nicht auswertbar",IF(F109="Punkt","Punktprognose",IF(AND(ISNUMBER(I109),ISNUMBER(J109),I109&lt;&gt;J109),IF(L109&lt;I109,"unterhalb",IF(L109&gt;J109,"oberhalb","innerhalb")),"nicht auswertbar")))</f>
        <v>oberhalb</v>
      </c>
      <c r="Y109" s="25" t="str">
        <f aca="false">IF(AND(ISNUMBER(S109),OR(G109="Marge %",G109="Wachstumsrate %")),ABS(S109),"")</f>
        <v/>
      </c>
      <c r="Z109" s="0" t="str">
        <f aca="false">IFERROR(VLOOKUP(A109,Unternehmen!$A:$D,4,FALSE()),"")</f>
        <v>Finanzdienstleister</v>
      </c>
    </row>
    <row r="110" customFormat="false" ht="15" hidden="false" customHeight="true" outlineLevel="0" collapsed="false">
      <c r="A110" s="15" t="s">
        <v>53</v>
      </c>
      <c r="B110" s="15" t="n">
        <v>2024</v>
      </c>
      <c r="C110" s="15" t="s">
        <v>15</v>
      </c>
      <c r="D110" s="15" t="s">
        <v>317</v>
      </c>
      <c r="E110" s="15" t="n">
        <v>89</v>
      </c>
      <c r="F110" s="15" t="s">
        <v>153</v>
      </c>
      <c r="G110" s="15" t="s">
        <v>177</v>
      </c>
      <c r="H110" s="15" t="s">
        <v>184</v>
      </c>
      <c r="I110" s="17" t="n">
        <v>5.6</v>
      </c>
      <c r="J110" s="17"/>
      <c r="K110" s="17" t="n">
        <f aca="false">L108</f>
        <v>5.0766</v>
      </c>
      <c r="L110" s="17" t="n">
        <v>5.8285</v>
      </c>
      <c r="M110" s="17" t="n">
        <f aca="false">L110-K110</f>
        <v>0.7519</v>
      </c>
      <c r="N110" s="22" t="s">
        <v>164</v>
      </c>
      <c r="O110" s="15" t="s">
        <v>318</v>
      </c>
      <c r="P110" s="15" t="n">
        <v>178</v>
      </c>
      <c r="Q110" s="18"/>
      <c r="R110" s="25" t="n">
        <f aca="false">IF(NOT(ISNUMBER(I110)),"",IF(F110="Mindestprognose",I110,IF(ISNUMBER(J110),(I110+J110)/2,I110)))</f>
        <v>5.6</v>
      </c>
      <c r="S110" s="25" t="n">
        <f aca="false">IF(OR(R110="",NOT(ISNUMBER(L110))),"",R110-L110)</f>
        <v>-0.2285</v>
      </c>
      <c r="T110" s="19" t="n">
        <f aca="false">IF(OR(S110="",G110&lt;&gt;"absolut",NOT(ISNUMBER(L110)),L110=0),"",S110/ABS(L110))</f>
        <v>-0.0392039118126448</v>
      </c>
      <c r="U110" s="19" t="n">
        <f aca="false">IF(T110="","",ABS(T110))</f>
        <v>0.0392039118126448</v>
      </c>
      <c r="V110" s="20" t="str">
        <f aca="false">IF(OR(F110="Punkt",NOT(ISNUMBER(L110))),"",IF(F110="Mindestprognose",IF(L110&gt;=I110,1,0),IF(AND(ISNUMBER(I110),ISNUMBER(J110),I110&lt;&gt;J110),IF(AND(L110&gt;=I110,L110&lt;=J110),1,0),"")))</f>
        <v/>
      </c>
      <c r="W110" s="18" t="s">
        <v>319</v>
      </c>
      <c r="X110" s="0" t="str">
        <f aca="false">IF(OR(F110="qualitativ",F110="fehlend",NOT(ISNUMBER(L110))),"nicht auswertbar",IF(F110="Punkt","Punktprognose",IF(AND(ISNUMBER(I110),ISNUMBER(J110),I110&lt;&gt;J110),IF(L110&lt;I110,"unterhalb",IF(L110&gt;J110,"oberhalb","innerhalb")),"nicht auswertbar")))</f>
        <v>nicht auswertbar</v>
      </c>
      <c r="Y110" s="25" t="str">
        <f aca="false">IF(AND(ISNUMBER(S110),OR(G110="Marge %",G110="Wachstumsrate %")),ABS(S110),"")</f>
        <v/>
      </c>
      <c r="Z110" s="0" t="str">
        <f aca="false">IFERROR(VLOOKUP(A110,Unternehmen!$A:$D,4,FALSE()),"")</f>
        <v>Finanzdienstleister</v>
      </c>
    </row>
    <row r="111" customFormat="false" ht="15" hidden="false" customHeight="true" outlineLevel="0" collapsed="false">
      <c r="A111" s="15" t="s">
        <v>53</v>
      </c>
      <c r="B111" s="15" t="n">
        <v>2024</v>
      </c>
      <c r="C111" s="15" t="s">
        <v>158</v>
      </c>
      <c r="D111" s="15" t="s">
        <v>317</v>
      </c>
      <c r="E111" s="15" t="n">
        <v>89</v>
      </c>
      <c r="F111" s="15" t="s">
        <v>153</v>
      </c>
      <c r="G111" s="15" t="s">
        <v>177</v>
      </c>
      <c r="H111" s="15" t="s">
        <v>184</v>
      </c>
      <c r="I111" s="17" t="n">
        <v>3.2</v>
      </c>
      <c r="J111" s="17"/>
      <c r="K111" s="17" t="n">
        <f aca="false">L109</f>
        <v>2.9443</v>
      </c>
      <c r="L111" s="17" t="n">
        <v>3.3956</v>
      </c>
      <c r="M111" s="17" t="n">
        <f aca="false">L111-K111</f>
        <v>0.4513</v>
      </c>
      <c r="N111" s="22" t="s">
        <v>164</v>
      </c>
      <c r="O111" s="15" t="s">
        <v>318</v>
      </c>
      <c r="P111" s="15" t="n">
        <v>178</v>
      </c>
      <c r="Q111" s="18"/>
      <c r="R111" s="25" t="n">
        <f aca="false">IF(NOT(ISNUMBER(I111)),"",IF(F111="Mindestprognose",I111,IF(ISNUMBER(J111),(I111+J111)/2,I111)))</f>
        <v>3.2</v>
      </c>
      <c r="S111" s="25" t="n">
        <f aca="false">IF(OR(R111="",NOT(ISNUMBER(L111))),"",R111-L111)</f>
        <v>-0.1956</v>
      </c>
      <c r="T111" s="19" t="n">
        <f aca="false">IF(OR(S111="",G111&lt;&gt;"absolut",NOT(ISNUMBER(L111)),L111=0),"",S111/ABS(L111))</f>
        <v>-0.0576039580633761</v>
      </c>
      <c r="U111" s="19" t="n">
        <f aca="false">IF(T111="","",ABS(T111))</f>
        <v>0.0576039580633761</v>
      </c>
      <c r="V111" s="20" t="str">
        <f aca="false">IF(OR(F111="Punkt",NOT(ISNUMBER(L111))),"",IF(F111="Mindestprognose",IF(L111&gt;=I111,1,0),IF(AND(ISNUMBER(I111),ISNUMBER(J111),I111&lt;&gt;J111),IF(AND(L111&gt;=I111,L111&lt;=J111),1,0),"")))</f>
        <v/>
      </c>
      <c r="W111" s="18" t="s">
        <v>320</v>
      </c>
      <c r="X111" s="0" t="str">
        <f aca="false">IF(OR(F111="qualitativ",F111="fehlend",NOT(ISNUMBER(L111))),"nicht auswertbar",IF(F111="Punkt","Punktprognose",IF(AND(ISNUMBER(I111),ISNUMBER(J111),I111&lt;&gt;J111),IF(L111&lt;I111,"unterhalb",IF(L111&gt;J111,"oberhalb","innerhalb")),"nicht auswertbar")))</f>
        <v>nicht auswertbar</v>
      </c>
      <c r="Y111" s="25" t="str">
        <f aca="false">IF(AND(ISNUMBER(S111),OR(G111="Marge %",G111="Wachstumsrate %")),ABS(S111),"")</f>
        <v/>
      </c>
      <c r="Z111" s="0" t="str">
        <f aca="false">IFERROR(VLOOKUP(A111,Unternehmen!$A:$D,4,FALSE()),"")</f>
        <v>Finanzdienstleister</v>
      </c>
    </row>
    <row r="112" customFormat="false" ht="15" hidden="false" customHeight="true" outlineLevel="0" collapsed="false">
      <c r="A112" s="15" t="s">
        <v>57</v>
      </c>
      <c r="B112" s="15" t="n">
        <v>2020</v>
      </c>
      <c r="C112" s="15" t="s">
        <v>15</v>
      </c>
      <c r="D112" s="28"/>
      <c r="E112" s="28"/>
      <c r="F112" s="28" t="s">
        <v>206</v>
      </c>
      <c r="G112" s="28"/>
      <c r="H112" s="28"/>
      <c r="I112" s="36"/>
      <c r="J112" s="37"/>
      <c r="K112" s="24"/>
      <c r="L112" s="24"/>
      <c r="M112" s="24"/>
      <c r="N112" s="28"/>
      <c r="O112" s="28"/>
      <c r="P112" s="28"/>
      <c r="Q112" s="18"/>
      <c r="R112" s="25" t="str">
        <f aca="false">IF(NOT(ISNUMBER(I112)),"",IF(F112="Mindestprognose",I112,IF(ISNUMBER(J112),(I112+J112)/2,I112)))</f>
        <v/>
      </c>
      <c r="S112" s="25" t="str">
        <f aca="false">IF(OR(R112="",NOT(ISNUMBER(L112))),"",R112-L112)</f>
        <v/>
      </c>
      <c r="T112" s="19" t="str">
        <f aca="false">IF(OR(S112="",G112&lt;&gt;"absolut",NOT(ISNUMBER(L112)),L112=0),"",S112/ABS(L112))</f>
        <v/>
      </c>
      <c r="U112" s="19" t="str">
        <f aca="false">IF(T112="","",ABS(T112))</f>
        <v/>
      </c>
      <c r="V112" s="20" t="str">
        <f aca="false">IF(OR(F112="Punkt",NOT(ISNUMBER(L112))),"",IF(F112="Mindestprognose",IF(L112&gt;=I112,1,0),IF(AND(ISNUMBER(I112),ISNUMBER(J112),I112&lt;&gt;J112),IF(AND(L112&gt;=I112,L112&lt;=J112),1,0),"")))</f>
        <v/>
      </c>
      <c r="W112" s="18"/>
      <c r="X112" s="0" t="str">
        <f aca="false">IF(OR(F112="qualitativ",F112="fehlend",NOT(ISNUMBER(L112))),"nicht auswertbar",IF(F112="Punkt","Punktprognose",IF(AND(ISNUMBER(I112),ISNUMBER(J112),I112&lt;&gt;J112),IF(L112&lt;I112,"unterhalb",IF(L112&gt;J112,"oberhalb","innerhalb")),"nicht auswertbar")))</f>
        <v>nicht auswertbar</v>
      </c>
      <c r="Y112" s="25" t="str">
        <f aca="false">IF(AND(ISNUMBER(S112),OR(G112="Marge %",G112="Wachstumsrate %")),ABS(S112),"")</f>
        <v/>
      </c>
      <c r="Z112" s="0" t="str">
        <f aca="false">IFERROR(VLOOKUP(A112,Unternehmen!$A:$D,4,FALSE()),"")</f>
        <v>Transport &amp; Logistik</v>
      </c>
    </row>
    <row r="113" customFormat="false" ht="15" hidden="false" customHeight="true" outlineLevel="0" collapsed="false">
      <c r="A113" s="15" t="s">
        <v>57</v>
      </c>
      <c r="B113" s="15" t="n">
        <v>2020</v>
      </c>
      <c r="C113" s="15" t="s">
        <v>158</v>
      </c>
      <c r="D113" s="15" t="s">
        <v>321</v>
      </c>
      <c r="E113" s="15" t="n">
        <v>34</v>
      </c>
      <c r="F113" s="15" t="s">
        <v>153</v>
      </c>
      <c r="G113" s="15" t="s">
        <v>177</v>
      </c>
      <c r="H113" s="15" t="s">
        <v>184</v>
      </c>
      <c r="I113" s="17" t="n">
        <v>5</v>
      </c>
      <c r="J113" s="17"/>
      <c r="K113" s="17" t="n">
        <v>4.1</v>
      </c>
      <c r="L113" s="17" t="n">
        <v>4.8</v>
      </c>
      <c r="M113" s="17" t="n">
        <f aca="false">L113-K113</f>
        <v>0.7</v>
      </c>
      <c r="N113" s="15" t="s">
        <v>322</v>
      </c>
      <c r="O113" s="15" t="s">
        <v>323</v>
      </c>
      <c r="P113" s="15" t="n">
        <v>27</v>
      </c>
      <c r="Q113" s="18"/>
      <c r="R113" s="25" t="n">
        <f aca="false">IF(NOT(ISNUMBER(I113)),"",IF(F113="Mindestprognose",I113,IF(ISNUMBER(J113),(I113+J113)/2,I113)))</f>
        <v>5</v>
      </c>
      <c r="S113" s="25" t="n">
        <f aca="false">IF(OR(R113="",NOT(ISNUMBER(L113))),"",R113-L113)</f>
        <v>0.2</v>
      </c>
      <c r="T113" s="19" t="n">
        <f aca="false">IF(OR(S113="",G113&lt;&gt;"absolut",NOT(ISNUMBER(L113)),L113=0),"",S113/ABS(L113))</f>
        <v>0.0416666666666667</v>
      </c>
      <c r="U113" s="19" t="n">
        <f aca="false">IF(T113="","",ABS(T113))</f>
        <v>0.0416666666666667</v>
      </c>
      <c r="V113" s="20" t="str">
        <f aca="false">IF(OR(F113="Punkt",NOT(ISNUMBER(L113))),"",IF(F113="Mindestprognose",IF(L113&gt;=I113,1,0),IF(AND(ISNUMBER(I113),ISNUMBER(J113),I113&lt;&gt;J113),IF(AND(L113&gt;=I113,L113&lt;=J113),1,0),"")))</f>
        <v/>
      </c>
      <c r="W113" s="18" t="s">
        <v>324</v>
      </c>
      <c r="X113" s="0" t="str">
        <f aca="false">IF(OR(F113="qualitativ",F113="fehlend",NOT(ISNUMBER(L113))),"nicht auswertbar",IF(F113="Punkt","Punktprognose",IF(AND(ISNUMBER(I113),ISNUMBER(J113),I113&lt;&gt;J113),IF(L113&lt;I113,"unterhalb",IF(L113&gt;J113,"oberhalb","innerhalb")),"nicht auswertbar")))</f>
        <v>nicht auswertbar</v>
      </c>
      <c r="Y113" s="25" t="str">
        <f aca="false">IF(AND(ISNUMBER(S113),OR(G113="Marge %",G113="Wachstumsrate %")),ABS(S113),"")</f>
        <v/>
      </c>
      <c r="Z113" s="0" t="str">
        <f aca="false">IFERROR(VLOOKUP(A113,Unternehmen!$A:$D,4,FALSE()),"")</f>
        <v>Transport &amp; Logistik</v>
      </c>
    </row>
    <row r="114" customFormat="false" ht="15" hidden="false" customHeight="true" outlineLevel="0" collapsed="false">
      <c r="A114" s="15" t="s">
        <v>57</v>
      </c>
      <c r="B114" s="15" t="n">
        <v>2021</v>
      </c>
      <c r="C114" s="15" t="s">
        <v>15</v>
      </c>
      <c r="D114" s="28"/>
      <c r="E114" s="28"/>
      <c r="F114" s="28" t="s">
        <v>206</v>
      </c>
      <c r="G114" s="28"/>
      <c r="H114" s="28"/>
      <c r="I114" s="36"/>
      <c r="J114" s="37"/>
      <c r="K114" s="24"/>
      <c r="L114" s="24"/>
      <c r="M114" s="24"/>
      <c r="N114" s="28"/>
      <c r="O114" s="28"/>
      <c r="P114" s="28"/>
      <c r="Q114" s="18"/>
      <c r="R114" s="25" t="str">
        <f aca="false">IF(NOT(ISNUMBER(I114)),"",IF(F114="Mindestprognose",I114,IF(ISNUMBER(J114),(I114+J114)/2,I114)))</f>
        <v/>
      </c>
      <c r="S114" s="25" t="str">
        <f aca="false">IF(OR(R114="",NOT(ISNUMBER(L114))),"",R114-L114)</f>
        <v/>
      </c>
      <c r="T114" s="19" t="str">
        <f aca="false">IF(OR(S114="",G114&lt;&gt;"absolut",NOT(ISNUMBER(L114)),L114=0),"",S114/ABS(L114))</f>
        <v/>
      </c>
      <c r="U114" s="19" t="str">
        <f aca="false">IF(T114="","",ABS(T114))</f>
        <v/>
      </c>
      <c r="V114" s="20" t="str">
        <f aca="false">IF(OR(F114="Punkt",NOT(ISNUMBER(L114))),"",IF(F114="Mindestprognose",IF(L114&gt;=I114,1,0),IF(AND(ISNUMBER(I114),ISNUMBER(J114),I114&lt;&gt;J114),IF(AND(L114&gt;=I114,L114&lt;=J114),1,0),"")))</f>
        <v/>
      </c>
      <c r="W114" s="18"/>
      <c r="X114" s="0" t="str">
        <f aca="false">IF(OR(F114="qualitativ",F114="fehlend",NOT(ISNUMBER(L114))),"nicht auswertbar",IF(F114="Punkt","Punktprognose",IF(AND(ISNUMBER(I114),ISNUMBER(J114),I114&lt;&gt;J114),IF(L114&lt;I114,"unterhalb",IF(L114&gt;J114,"oberhalb","innerhalb")),"nicht auswertbar")))</f>
        <v>nicht auswertbar</v>
      </c>
      <c r="Y114" s="25" t="str">
        <f aca="false">IF(AND(ISNUMBER(S114),OR(G114="Marge %",G114="Wachstumsrate %")),ABS(S114),"")</f>
        <v/>
      </c>
      <c r="Z114" s="0" t="str">
        <f aca="false">IFERROR(VLOOKUP(A114,Unternehmen!$A:$D,4,FALSE()),"")</f>
        <v>Transport &amp; Logistik</v>
      </c>
    </row>
    <row r="115" customFormat="false" ht="15" hidden="false" customHeight="true" outlineLevel="0" collapsed="false">
      <c r="A115" s="15" t="s">
        <v>57</v>
      </c>
      <c r="B115" s="15" t="n">
        <v>2021</v>
      </c>
      <c r="C115" s="15" t="s">
        <v>158</v>
      </c>
      <c r="D115" s="15" t="s">
        <v>323</v>
      </c>
      <c r="E115" s="15" t="n">
        <v>27</v>
      </c>
      <c r="F115" s="15" t="s">
        <v>153</v>
      </c>
      <c r="G115" s="15" t="s">
        <v>177</v>
      </c>
      <c r="H115" s="15" t="s">
        <v>184</v>
      </c>
      <c r="I115" s="17" t="n">
        <v>5.6</v>
      </c>
      <c r="J115" s="17"/>
      <c r="K115" s="17" t="n">
        <f aca="false">L113</f>
        <v>4.8</v>
      </c>
      <c r="L115" s="17" t="n">
        <v>8</v>
      </c>
      <c r="M115" s="17" t="n">
        <f aca="false">L115-K115</f>
        <v>3.2</v>
      </c>
      <c r="N115" s="22" t="s">
        <v>164</v>
      </c>
      <c r="O115" s="15" t="s">
        <v>325</v>
      </c>
      <c r="P115" s="15" t="n">
        <v>28</v>
      </c>
      <c r="Q115" s="18"/>
      <c r="R115" s="25" t="n">
        <f aca="false">IF(NOT(ISNUMBER(I115)),"",IF(F115="Mindestprognose",I115,IF(ISNUMBER(J115),(I115+J115)/2,I115)))</f>
        <v>5.6</v>
      </c>
      <c r="S115" s="25" t="n">
        <f aca="false">IF(OR(R115="",NOT(ISNUMBER(L115))),"",R115-L115)</f>
        <v>-2.4</v>
      </c>
      <c r="T115" s="19" t="n">
        <f aca="false">IF(OR(S115="",G115&lt;&gt;"absolut",NOT(ISNUMBER(L115)),L115=0),"",S115/ABS(L115))</f>
        <v>-0.3</v>
      </c>
      <c r="U115" s="19" t="n">
        <f aca="false">IF(T115="","",ABS(T115))</f>
        <v>0.3</v>
      </c>
      <c r="V115" s="20" t="str">
        <f aca="false">IF(OR(F115="Punkt",NOT(ISNUMBER(L115))),"",IF(F115="Mindestprognose",IF(L115&gt;=I115,1,0),IF(AND(ISNUMBER(I115),ISNUMBER(J115),I115&lt;&gt;J115),IF(AND(L115&gt;=I115,L115&lt;=J115),1,0),"")))</f>
        <v/>
      </c>
      <c r="W115" s="18" t="s">
        <v>319</v>
      </c>
      <c r="X115" s="0" t="str">
        <f aca="false">IF(OR(F115="qualitativ",F115="fehlend",NOT(ISNUMBER(L115))),"nicht auswertbar",IF(F115="Punkt","Punktprognose",IF(AND(ISNUMBER(I115),ISNUMBER(J115),I115&lt;&gt;J115),IF(L115&lt;I115,"unterhalb",IF(L115&gt;J115,"oberhalb","innerhalb")),"nicht auswertbar")))</f>
        <v>nicht auswertbar</v>
      </c>
      <c r="Y115" s="25" t="str">
        <f aca="false">IF(AND(ISNUMBER(S115),OR(G115="Marge %",G115="Wachstumsrate %")),ABS(S115),"")</f>
        <v/>
      </c>
      <c r="Z115" s="0" t="str">
        <f aca="false">IFERROR(VLOOKUP(A115,Unternehmen!$A:$D,4,FALSE()),"")</f>
        <v>Transport &amp; Logistik</v>
      </c>
    </row>
    <row r="116" customFormat="false" ht="15" hidden="false" customHeight="true" outlineLevel="0" collapsed="false">
      <c r="A116" s="15" t="s">
        <v>57</v>
      </c>
      <c r="B116" s="15" t="n">
        <v>2022</v>
      </c>
      <c r="C116" s="15" t="s">
        <v>15</v>
      </c>
      <c r="D116" s="28"/>
      <c r="E116" s="28"/>
      <c r="F116" s="28" t="s">
        <v>206</v>
      </c>
      <c r="G116" s="28"/>
      <c r="H116" s="28"/>
      <c r="I116" s="36"/>
      <c r="J116" s="37"/>
      <c r="K116" s="24"/>
      <c r="L116" s="24"/>
      <c r="M116" s="24"/>
      <c r="N116" s="28"/>
      <c r="O116" s="28"/>
      <c r="P116" s="28"/>
      <c r="Q116" s="18"/>
      <c r="R116" s="25" t="str">
        <f aca="false">IF(NOT(ISNUMBER(I116)),"",IF(F116="Mindestprognose",I116,IF(ISNUMBER(J116),(I116+J116)/2,I116)))</f>
        <v/>
      </c>
      <c r="S116" s="25" t="str">
        <f aca="false">IF(OR(R116="",NOT(ISNUMBER(L116))),"",R116-L116)</f>
        <v/>
      </c>
      <c r="T116" s="19" t="str">
        <f aca="false">IF(OR(S116="",G116&lt;&gt;"absolut",NOT(ISNUMBER(L116)),L116=0),"",S116/ABS(L116))</f>
        <v/>
      </c>
      <c r="U116" s="19" t="str">
        <f aca="false">IF(T116="","",ABS(T116))</f>
        <v/>
      </c>
      <c r="V116" s="20" t="str">
        <f aca="false">IF(OR(F116="Punkt",NOT(ISNUMBER(L116))),"",IF(F116="Mindestprognose",IF(L116&gt;=I116,1,0),IF(AND(ISNUMBER(I116),ISNUMBER(J116),I116&lt;&gt;J116),IF(AND(L116&gt;=I116,L116&lt;=J116),1,0),"")))</f>
        <v/>
      </c>
      <c r="W116" s="18"/>
      <c r="X116" s="0" t="str">
        <f aca="false">IF(OR(F116="qualitativ",F116="fehlend",NOT(ISNUMBER(L116))),"nicht auswertbar",IF(F116="Punkt","Punktprognose",IF(AND(ISNUMBER(I116),ISNUMBER(J116),I116&lt;&gt;J116),IF(L116&lt;I116,"unterhalb",IF(L116&gt;J116,"oberhalb","innerhalb")),"nicht auswertbar")))</f>
        <v>nicht auswertbar</v>
      </c>
      <c r="Y116" s="25" t="str">
        <f aca="false">IF(AND(ISNUMBER(S116),OR(G116="Marge %",G116="Wachstumsrate %")),ABS(S116),"")</f>
        <v/>
      </c>
      <c r="Z116" s="0" t="str">
        <f aca="false">IFERROR(VLOOKUP(A116,Unternehmen!$A:$D,4,FALSE()),"")</f>
        <v>Transport &amp; Logistik</v>
      </c>
    </row>
    <row r="117" customFormat="false" ht="15" hidden="false" customHeight="true" outlineLevel="0" collapsed="false">
      <c r="A117" s="15" t="s">
        <v>57</v>
      </c>
      <c r="B117" s="15" t="n">
        <v>2022</v>
      </c>
      <c r="C117" s="15" t="s">
        <v>158</v>
      </c>
      <c r="D117" s="15" t="s">
        <v>325</v>
      </c>
      <c r="E117" s="15" t="n">
        <v>28</v>
      </c>
      <c r="F117" s="15" t="s">
        <v>183</v>
      </c>
      <c r="G117" s="15" t="s">
        <v>177</v>
      </c>
      <c r="H117" s="15" t="s">
        <v>184</v>
      </c>
      <c r="I117" s="17" t="n">
        <v>7.6</v>
      </c>
      <c r="J117" s="17" t="n">
        <v>8.4</v>
      </c>
      <c r="K117" s="17" t="n">
        <f aca="false">L115</f>
        <v>8</v>
      </c>
      <c r="L117" s="17" t="n">
        <v>8.4</v>
      </c>
      <c r="M117" s="17" t="n">
        <f aca="false">L117-K117</f>
        <v>0.4</v>
      </c>
      <c r="N117" s="22" t="s">
        <v>164</v>
      </c>
      <c r="O117" s="15" t="s">
        <v>326</v>
      </c>
      <c r="P117" s="15" t="n">
        <v>29</v>
      </c>
      <c r="Q117" s="18"/>
      <c r="R117" s="25" t="n">
        <f aca="false">IF(NOT(ISNUMBER(I117)),"",IF(F117="Mindestprognose",I117,IF(ISNUMBER(J117),(I117+J117)/2,I117)))</f>
        <v>8</v>
      </c>
      <c r="S117" s="25" t="n">
        <f aca="false">IF(OR(R117="",NOT(ISNUMBER(L117))),"",R117-L117)</f>
        <v>-0.4</v>
      </c>
      <c r="T117" s="19" t="n">
        <f aca="false">IF(OR(S117="",G117&lt;&gt;"absolut",NOT(ISNUMBER(L117)),L117=0),"",S117/ABS(L117))</f>
        <v>-0.0476190476190477</v>
      </c>
      <c r="U117" s="19" t="n">
        <f aca="false">IF(T117="","",ABS(T117))</f>
        <v>0.0476190476190477</v>
      </c>
      <c r="V117" s="20" t="n">
        <f aca="false">IF(OR(F117="Punkt",NOT(ISNUMBER(L117))),"",IF(F117="Mindestprognose",IF(L117&gt;=I117,1,0),IF(AND(ISNUMBER(I117),ISNUMBER(J117),I117&lt;&gt;J117),IF(AND(L117&gt;=I117,L117&lt;=J117),1,0),"")))</f>
        <v>1</v>
      </c>
      <c r="W117" s="18"/>
      <c r="X117" s="0" t="str">
        <f aca="false">IF(OR(F117="qualitativ",F117="fehlend",NOT(ISNUMBER(L117))),"nicht auswertbar",IF(F117="Punkt","Punktprognose",IF(AND(ISNUMBER(I117),ISNUMBER(J117),I117&lt;&gt;J117),IF(L117&lt;I117,"unterhalb",IF(L117&gt;J117,"oberhalb","innerhalb")),"nicht auswertbar")))</f>
        <v>innerhalb</v>
      </c>
      <c r="Y117" s="25" t="str">
        <f aca="false">IF(AND(ISNUMBER(S117),OR(G117="Marge %",G117="Wachstumsrate %")),ABS(S117),"")</f>
        <v/>
      </c>
      <c r="Z117" s="0" t="str">
        <f aca="false">IFERROR(VLOOKUP(A117,Unternehmen!$A:$D,4,FALSE()),"")</f>
        <v>Transport &amp; Logistik</v>
      </c>
    </row>
    <row r="118" customFormat="false" ht="15" hidden="false" customHeight="true" outlineLevel="0" collapsed="false">
      <c r="A118" s="15" t="s">
        <v>57</v>
      </c>
      <c r="B118" s="15" t="n">
        <v>2023</v>
      </c>
      <c r="C118" s="15" t="s">
        <v>15</v>
      </c>
      <c r="D118" s="28"/>
      <c r="E118" s="28"/>
      <c r="F118" s="28" t="s">
        <v>206</v>
      </c>
      <c r="G118" s="28"/>
      <c r="H118" s="28"/>
      <c r="I118" s="36"/>
      <c r="J118" s="37"/>
      <c r="K118" s="24"/>
      <c r="L118" s="24"/>
      <c r="M118" s="24"/>
      <c r="N118" s="28"/>
      <c r="O118" s="28"/>
      <c r="P118" s="28"/>
      <c r="Q118" s="18"/>
      <c r="R118" s="25" t="str">
        <f aca="false">IF(NOT(ISNUMBER(I118)),"",IF(F118="Mindestprognose",I118,IF(ISNUMBER(J118),(I118+J118)/2,I118)))</f>
        <v/>
      </c>
      <c r="S118" s="25" t="str">
        <f aca="false">IF(OR(R118="",NOT(ISNUMBER(L118))),"",R118-L118)</f>
        <v/>
      </c>
      <c r="T118" s="19" t="str">
        <f aca="false">IF(OR(S118="",G118&lt;&gt;"absolut",NOT(ISNUMBER(L118)),L118=0),"",S118/ABS(L118))</f>
        <v/>
      </c>
      <c r="U118" s="19" t="str">
        <f aca="false">IF(T118="","",ABS(T118))</f>
        <v/>
      </c>
      <c r="V118" s="20" t="str">
        <f aca="false">IF(OR(F118="Punkt",NOT(ISNUMBER(L118))),"",IF(F118="Mindestprognose",IF(L118&gt;=I118,1,0),IF(AND(ISNUMBER(I118),ISNUMBER(J118),I118&lt;&gt;J118),IF(AND(L118&gt;=I118,L118&lt;=J118),1,0),"")))</f>
        <v/>
      </c>
      <c r="W118" s="18"/>
      <c r="X118" s="0" t="str">
        <f aca="false">IF(OR(F118="qualitativ",F118="fehlend",NOT(ISNUMBER(L118))),"nicht auswertbar",IF(F118="Punkt","Punktprognose",IF(AND(ISNUMBER(I118),ISNUMBER(J118),I118&lt;&gt;J118),IF(L118&lt;I118,"unterhalb",IF(L118&gt;J118,"oberhalb","innerhalb")),"nicht auswertbar")))</f>
        <v>nicht auswertbar</v>
      </c>
      <c r="Y118" s="25" t="str">
        <f aca="false">IF(AND(ISNUMBER(S118),OR(G118="Marge %",G118="Wachstumsrate %")),ABS(S118),"")</f>
        <v/>
      </c>
      <c r="Z118" s="0" t="str">
        <f aca="false">IFERROR(VLOOKUP(A118,Unternehmen!$A:$D,4,FALSE()),"")</f>
        <v>Transport &amp; Logistik</v>
      </c>
    </row>
    <row r="119" customFormat="false" ht="15" hidden="false" customHeight="true" outlineLevel="0" collapsed="false">
      <c r="A119" s="15" t="s">
        <v>57</v>
      </c>
      <c r="B119" s="15" t="n">
        <v>2023</v>
      </c>
      <c r="C119" s="15" t="s">
        <v>158</v>
      </c>
      <c r="D119" s="15" t="s">
        <v>326</v>
      </c>
      <c r="E119" s="15" t="n">
        <v>29</v>
      </c>
      <c r="F119" s="15" t="s">
        <v>183</v>
      </c>
      <c r="G119" s="15" t="s">
        <v>177</v>
      </c>
      <c r="H119" s="15" t="s">
        <v>184</v>
      </c>
      <c r="I119" s="17" t="n">
        <v>6</v>
      </c>
      <c r="J119" s="17" t="n">
        <v>7</v>
      </c>
      <c r="K119" s="17" t="n">
        <f aca="false">L117</f>
        <v>8.4</v>
      </c>
      <c r="L119" s="17" t="n">
        <v>6.3</v>
      </c>
      <c r="M119" s="17" t="n">
        <f aca="false">L119-K119</f>
        <v>-2.1</v>
      </c>
      <c r="N119" s="22" t="s">
        <v>164</v>
      </c>
      <c r="O119" s="15" t="s">
        <v>327</v>
      </c>
      <c r="P119" s="15" t="n">
        <v>37</v>
      </c>
      <c r="Q119" s="18"/>
      <c r="R119" s="25" t="n">
        <f aca="false">IF(NOT(ISNUMBER(I119)),"",IF(F119="Mindestprognose",I119,IF(ISNUMBER(J119),(I119+J119)/2,I119)))</f>
        <v>6.5</v>
      </c>
      <c r="S119" s="25" t="n">
        <f aca="false">IF(OR(R119="",NOT(ISNUMBER(L119))),"",R119-L119)</f>
        <v>0.2</v>
      </c>
      <c r="T119" s="19" t="n">
        <f aca="false">IF(OR(S119="",G119&lt;&gt;"absolut",NOT(ISNUMBER(L119)),L119=0),"",S119/ABS(L119))</f>
        <v>0.0317460317460318</v>
      </c>
      <c r="U119" s="19" t="n">
        <f aca="false">IF(T119="","",ABS(T119))</f>
        <v>0.0317460317460318</v>
      </c>
      <c r="V119" s="20" t="n">
        <f aca="false">IF(OR(F119="Punkt",NOT(ISNUMBER(L119))),"",IF(F119="Mindestprognose",IF(L119&gt;=I119,1,0),IF(AND(ISNUMBER(I119),ISNUMBER(J119),I119&lt;&gt;J119),IF(AND(L119&gt;=I119,L119&lt;=J119),1,0),"")))</f>
        <v>1</v>
      </c>
      <c r="W119" s="18"/>
      <c r="X119" s="0" t="str">
        <f aca="false">IF(OR(F119="qualitativ",F119="fehlend",NOT(ISNUMBER(L119))),"nicht auswertbar",IF(F119="Punkt","Punktprognose",IF(AND(ISNUMBER(I119),ISNUMBER(J119),I119&lt;&gt;J119),IF(L119&lt;I119,"unterhalb",IF(L119&gt;J119,"oberhalb","innerhalb")),"nicht auswertbar")))</f>
        <v>innerhalb</v>
      </c>
      <c r="Y119" s="25" t="str">
        <f aca="false">IF(AND(ISNUMBER(S119),OR(G119="Marge %",G119="Wachstumsrate %")),ABS(S119),"")</f>
        <v/>
      </c>
      <c r="Z119" s="0" t="str">
        <f aca="false">IFERROR(VLOOKUP(A119,Unternehmen!$A:$D,4,FALSE()),"")</f>
        <v>Transport &amp; Logistik</v>
      </c>
    </row>
    <row r="120" customFormat="false" ht="15" hidden="false" customHeight="true" outlineLevel="0" collapsed="false">
      <c r="A120" s="15" t="s">
        <v>57</v>
      </c>
      <c r="B120" s="15" t="n">
        <v>2024</v>
      </c>
      <c r="C120" s="15" t="s">
        <v>15</v>
      </c>
      <c r="D120" s="28"/>
      <c r="E120" s="28"/>
      <c r="F120" s="28" t="s">
        <v>206</v>
      </c>
      <c r="G120" s="28"/>
      <c r="H120" s="28"/>
      <c r="I120" s="36"/>
      <c r="J120" s="37"/>
      <c r="K120" s="24"/>
      <c r="L120" s="24"/>
      <c r="M120" s="24"/>
      <c r="N120" s="28"/>
      <c r="O120" s="28"/>
      <c r="P120" s="28"/>
      <c r="Q120" s="18"/>
      <c r="R120" s="25" t="str">
        <f aca="false">IF(NOT(ISNUMBER(I120)),"",IF(F120="Mindestprognose",I120,IF(ISNUMBER(J120),(I120+J120)/2,I120)))</f>
        <v/>
      </c>
      <c r="S120" s="25" t="str">
        <f aca="false">IF(OR(R120="",NOT(ISNUMBER(L120))),"",R120-L120)</f>
        <v/>
      </c>
      <c r="T120" s="19" t="str">
        <f aca="false">IF(OR(S120="",G120&lt;&gt;"absolut",NOT(ISNUMBER(L120)),L120=0),"",S120/ABS(L120))</f>
        <v/>
      </c>
      <c r="U120" s="19" t="str">
        <f aca="false">IF(T120="","",ABS(T120))</f>
        <v/>
      </c>
      <c r="V120" s="20" t="str">
        <f aca="false">IF(OR(F120="Punkt",NOT(ISNUMBER(L120))),"",IF(F120="Mindestprognose",IF(L120&gt;=I120,1,0),IF(AND(ISNUMBER(I120),ISNUMBER(J120),I120&lt;&gt;J120),IF(AND(L120&gt;=I120,L120&lt;=J120),1,0),"")))</f>
        <v/>
      </c>
      <c r="W120" s="18"/>
      <c r="X120" s="0" t="str">
        <f aca="false">IF(OR(F120="qualitativ",F120="fehlend",NOT(ISNUMBER(L120))),"nicht auswertbar",IF(F120="Punkt","Punktprognose",IF(AND(ISNUMBER(I120),ISNUMBER(J120),I120&lt;&gt;J120),IF(L120&lt;I120,"unterhalb",IF(L120&gt;J120,"oberhalb","innerhalb")),"nicht auswertbar")))</f>
        <v>nicht auswertbar</v>
      </c>
      <c r="Y120" s="25" t="str">
        <f aca="false">IF(AND(ISNUMBER(S120),OR(G120="Marge %",G120="Wachstumsrate %")),ABS(S120),"")</f>
        <v/>
      </c>
      <c r="Z120" s="0" t="str">
        <f aca="false">IFERROR(VLOOKUP(A120,Unternehmen!$A:$D,4,FALSE()),"")</f>
        <v>Transport &amp; Logistik</v>
      </c>
    </row>
    <row r="121" customFormat="false" ht="15" hidden="false" customHeight="true" outlineLevel="0" collapsed="false">
      <c r="A121" s="15" t="s">
        <v>57</v>
      </c>
      <c r="B121" s="15" t="n">
        <v>2024</v>
      </c>
      <c r="C121" s="15" t="s">
        <v>158</v>
      </c>
      <c r="D121" s="15" t="s">
        <v>327</v>
      </c>
      <c r="E121" s="15" t="n">
        <v>37</v>
      </c>
      <c r="F121" s="15" t="s">
        <v>183</v>
      </c>
      <c r="G121" s="15" t="s">
        <v>177</v>
      </c>
      <c r="H121" s="15" t="s">
        <v>184</v>
      </c>
      <c r="I121" s="17" t="n">
        <v>6</v>
      </c>
      <c r="J121" s="17" t="n">
        <v>6.6</v>
      </c>
      <c r="K121" s="17" t="n">
        <f aca="false">L119</f>
        <v>6.3</v>
      </c>
      <c r="L121" s="17" t="n">
        <v>5.9</v>
      </c>
      <c r="M121" s="17" t="n">
        <f aca="false">L121-K121</f>
        <v>-0.399999999999999</v>
      </c>
      <c r="N121" s="15" t="s">
        <v>328</v>
      </c>
      <c r="O121" s="15" t="s">
        <v>329</v>
      </c>
      <c r="P121" s="15" t="n">
        <v>34</v>
      </c>
      <c r="Q121" s="18"/>
      <c r="R121" s="25" t="n">
        <f aca="false">IF(NOT(ISNUMBER(I121)),"",IF(F121="Mindestprognose",I121,IF(ISNUMBER(J121),(I121+J121)/2,I121)))</f>
        <v>6.3</v>
      </c>
      <c r="S121" s="25" t="n">
        <f aca="false">IF(OR(R121="",NOT(ISNUMBER(L121))),"",R121-L121)</f>
        <v>0.399999999999999</v>
      </c>
      <c r="T121" s="19" t="n">
        <f aca="false">IF(OR(S121="",G121&lt;&gt;"absolut",NOT(ISNUMBER(L121)),L121=0),"",S121/ABS(L121))</f>
        <v>0.0677966101694914</v>
      </c>
      <c r="U121" s="19" t="n">
        <f aca="false">IF(T121="","",ABS(T121))</f>
        <v>0.0677966101694914</v>
      </c>
      <c r="V121" s="20" t="n">
        <f aca="false">IF(OR(F121="Punkt",NOT(ISNUMBER(L121))),"",IF(F121="Mindestprognose",IF(L121&gt;=I121,1,0),IF(AND(ISNUMBER(I121),ISNUMBER(J121),I121&lt;&gt;J121),IF(AND(L121&gt;=I121,L121&lt;=J121),1,0),"")))</f>
        <v>0</v>
      </c>
      <c r="W121" s="18"/>
      <c r="X121" s="0" t="str">
        <f aca="false">IF(OR(F121="qualitativ",F121="fehlend",NOT(ISNUMBER(L121))),"nicht auswertbar",IF(F121="Punkt","Punktprognose",IF(AND(ISNUMBER(I121),ISNUMBER(J121),I121&lt;&gt;J121),IF(L121&lt;I121,"unterhalb",IF(L121&gt;J121,"oberhalb","innerhalb")),"nicht auswertbar")))</f>
        <v>unterhalb</v>
      </c>
      <c r="Y121" s="25" t="str">
        <f aca="false">IF(AND(ISNUMBER(S121),OR(G121="Marge %",G121="Wachstumsrate %")),ABS(S121),"")</f>
        <v/>
      </c>
      <c r="Z121" s="0" t="str">
        <f aca="false">IFERROR(VLOOKUP(A121,Unternehmen!$A:$D,4,FALSE()),"")</f>
        <v>Transport &amp; Logistik</v>
      </c>
    </row>
    <row r="122" customFormat="false" ht="15" hidden="false" customHeight="true" outlineLevel="0" collapsed="false">
      <c r="A122" s="15" t="s">
        <v>62</v>
      </c>
      <c r="B122" s="15" t="n">
        <v>2020</v>
      </c>
      <c r="C122" s="15" t="s">
        <v>15</v>
      </c>
      <c r="D122" s="15" t="s">
        <v>330</v>
      </c>
      <c r="E122" s="15" t="n">
        <v>106</v>
      </c>
      <c r="F122" s="15" t="s">
        <v>187</v>
      </c>
      <c r="G122" s="15" t="s">
        <v>177</v>
      </c>
      <c r="H122" s="15" t="s">
        <v>184</v>
      </c>
      <c r="I122" s="24"/>
      <c r="J122" s="24"/>
      <c r="K122" s="17" t="n">
        <v>80.5</v>
      </c>
      <c r="L122" s="17" t="n">
        <v>101</v>
      </c>
      <c r="M122" s="17" t="n">
        <f aca="false">L122-K122</f>
        <v>20.5</v>
      </c>
      <c r="N122" s="22" t="s">
        <v>164</v>
      </c>
      <c r="O122" s="15" t="s">
        <v>331</v>
      </c>
      <c r="P122" s="15" t="n">
        <v>109</v>
      </c>
      <c r="Q122" s="18"/>
      <c r="R122" s="25" t="str">
        <f aca="false">IF(NOT(ISNUMBER(I122)),"",IF(F122="Mindestprognose",I122,IF(ISNUMBER(J122),(I122+J122)/2,I122)))</f>
        <v/>
      </c>
      <c r="S122" s="25" t="str">
        <f aca="false">IF(OR(R122="",NOT(ISNUMBER(L122))),"",R122-L122)</f>
        <v/>
      </c>
      <c r="T122" s="19" t="str">
        <f aca="false">IF(OR(S122="",G122&lt;&gt;"absolut",NOT(ISNUMBER(L122)),L122=0),"",S122/ABS(L122))</f>
        <v/>
      </c>
      <c r="U122" s="19" t="str">
        <f aca="false">IF(T122="","",ABS(T122))</f>
        <v/>
      </c>
      <c r="V122" s="20" t="str">
        <f aca="false">IF(OR(F122="Punkt",NOT(ISNUMBER(L122))),"",IF(F122="Mindestprognose",IF(L122&gt;=I122,1,0),IF(AND(ISNUMBER(I122),ISNUMBER(J122),I122&lt;&gt;J122),IF(AND(L122&gt;=I122,L122&lt;=J122),1,0),"")))</f>
        <v/>
      </c>
      <c r="W122" s="18" t="s">
        <v>332</v>
      </c>
      <c r="X122" s="0" t="str">
        <f aca="false">IF(OR(F122="qualitativ",F122="fehlend",NOT(ISNUMBER(L122))),"nicht auswertbar",IF(F122="Punkt","Punktprognose",IF(AND(ISNUMBER(I122),ISNUMBER(J122),I122&lt;&gt;J122),IF(L122&lt;I122,"unterhalb",IF(L122&gt;J122,"oberhalb","innerhalb")),"nicht auswertbar")))</f>
        <v>nicht auswertbar</v>
      </c>
      <c r="Y122" s="25" t="str">
        <f aca="false">IF(AND(ISNUMBER(S122),OR(G122="Marge %",G122="Wachstumsrate %")),ABS(S122),"")</f>
        <v/>
      </c>
      <c r="Z122" s="0" t="str">
        <f aca="false">IFERROR(VLOOKUP(A122,Unternehmen!$A:$D,4,FALSE()),"")</f>
        <v>Telekommunikation</v>
      </c>
    </row>
    <row r="123" customFormat="false" ht="15" hidden="false" customHeight="true" outlineLevel="0" collapsed="false">
      <c r="A123" s="15" t="s">
        <v>62</v>
      </c>
      <c r="B123" s="15" t="n">
        <v>2020</v>
      </c>
      <c r="C123" s="15" t="s">
        <v>158</v>
      </c>
      <c r="D123" s="15" t="s">
        <v>330</v>
      </c>
      <c r="E123" s="15" t="n">
        <v>106</v>
      </c>
      <c r="F123" s="15" t="s">
        <v>176</v>
      </c>
      <c r="G123" s="15" t="s">
        <v>177</v>
      </c>
      <c r="H123" s="15" t="s">
        <v>184</v>
      </c>
      <c r="I123" s="17" t="n">
        <v>25.5</v>
      </c>
      <c r="J123" s="17" t="n">
        <v>25.5</v>
      </c>
      <c r="K123" s="17" t="n">
        <v>24.7</v>
      </c>
      <c r="L123" s="17" t="n">
        <v>35</v>
      </c>
      <c r="M123" s="17" t="n">
        <f aca="false">L123-K123</f>
        <v>10.3</v>
      </c>
      <c r="N123" s="23" t="s">
        <v>174</v>
      </c>
      <c r="O123" s="15" t="s">
        <v>331</v>
      </c>
      <c r="P123" s="15" t="n">
        <v>109</v>
      </c>
      <c r="Q123" s="18"/>
      <c r="R123" s="25" t="n">
        <f aca="false">IF(NOT(ISNUMBER(I123)),"",IF(F123="Mindestprognose",I123,IF(ISNUMBER(J123),(I123+J123)/2,I123)))</f>
        <v>25.5</v>
      </c>
      <c r="S123" s="25" t="n">
        <f aca="false">IF(OR(R123="",NOT(ISNUMBER(L123))),"",R123-L123)</f>
        <v>-9.5</v>
      </c>
      <c r="T123" s="19" t="n">
        <f aca="false">IF(OR(S123="",G123&lt;&gt;"absolut",NOT(ISNUMBER(L123)),L123=0),"",S123/ABS(L123))</f>
        <v>-0.271428571428571</v>
      </c>
      <c r="U123" s="19" t="n">
        <f aca="false">IF(T123="","",ABS(T123))</f>
        <v>0.271428571428571</v>
      </c>
      <c r="V123" s="20" t="str">
        <f aca="false">IF(OR(F123="Punkt",NOT(ISNUMBER(L123))),"",IF(F123="Mindestprognose",IF(L123&gt;=I123,1,0),IF(AND(ISNUMBER(I123),ISNUMBER(J123),I123&lt;&gt;J123),IF(AND(L123&gt;=I123,L123&lt;=J123),1,0),"")))</f>
        <v/>
      </c>
      <c r="W123" s="18"/>
      <c r="X123" s="0" t="str">
        <f aca="false">IF(OR(F123="qualitativ",F123="fehlend",NOT(ISNUMBER(L123))),"nicht auswertbar",IF(F123="Punkt","Punktprognose",IF(AND(ISNUMBER(I123),ISNUMBER(J123),I123&lt;&gt;J123),IF(L123&lt;I123,"unterhalb",IF(L123&gt;J123,"oberhalb","innerhalb")),"nicht auswertbar")))</f>
        <v>Punktprognose</v>
      </c>
      <c r="Y123" s="25" t="str">
        <f aca="false">IF(AND(ISNUMBER(S123),OR(G123="Marge %",G123="Wachstumsrate %")),ABS(S123),"")</f>
        <v/>
      </c>
      <c r="Z123" s="0" t="str">
        <f aca="false">IFERROR(VLOOKUP(A123,Unternehmen!$A:$D,4,FALSE()),"")</f>
        <v>Telekommunikation</v>
      </c>
    </row>
    <row r="124" customFormat="false" ht="15" hidden="false" customHeight="true" outlineLevel="0" collapsed="false">
      <c r="A124" s="15" t="s">
        <v>62</v>
      </c>
      <c r="B124" s="15" t="n">
        <v>2021</v>
      </c>
      <c r="C124" s="15" t="s">
        <v>15</v>
      </c>
      <c r="D124" s="15" t="s">
        <v>331</v>
      </c>
      <c r="E124" s="15" t="n">
        <v>109</v>
      </c>
      <c r="F124" s="15" t="s">
        <v>187</v>
      </c>
      <c r="G124" s="15" t="s">
        <v>177</v>
      </c>
      <c r="H124" s="15" t="s">
        <v>184</v>
      </c>
      <c r="I124" s="24"/>
      <c r="J124" s="24"/>
      <c r="K124" s="17" t="n">
        <f aca="false">L122</f>
        <v>101</v>
      </c>
      <c r="L124" s="17" t="n">
        <v>108.8</v>
      </c>
      <c r="M124" s="17" t="n">
        <f aca="false">L124-K124</f>
        <v>7.8</v>
      </c>
      <c r="N124" s="22" t="s">
        <v>164</v>
      </c>
      <c r="O124" s="15" t="s">
        <v>333</v>
      </c>
      <c r="P124" s="15" t="n">
        <v>123</v>
      </c>
      <c r="Q124" s="18"/>
      <c r="R124" s="25" t="str">
        <f aca="false">IF(NOT(ISNUMBER(I124)),"",IF(F124="Mindestprognose",I124,IF(ISNUMBER(J124),(I124+J124)/2,I124)))</f>
        <v/>
      </c>
      <c r="S124" s="25" t="str">
        <f aca="false">IF(OR(R124="",NOT(ISNUMBER(L124))),"",R124-L124)</f>
        <v/>
      </c>
      <c r="T124" s="19" t="str">
        <f aca="false">IF(OR(S124="",G124&lt;&gt;"absolut",NOT(ISNUMBER(L124)),L124=0),"",S124/ABS(L124))</f>
        <v/>
      </c>
      <c r="U124" s="19" t="str">
        <f aca="false">IF(T124="","",ABS(T124))</f>
        <v/>
      </c>
      <c r="V124" s="20" t="str">
        <f aca="false">IF(OR(F124="Punkt",NOT(ISNUMBER(L124))),"",IF(F124="Mindestprognose",IF(L124&gt;=I124,1,0),IF(AND(ISNUMBER(I124),ISNUMBER(J124),I124&lt;&gt;J124),IF(AND(L124&gt;=I124,L124&lt;=J124),1,0),"")))</f>
        <v/>
      </c>
      <c r="W124" s="18" t="s">
        <v>334</v>
      </c>
      <c r="X124" s="0" t="str">
        <f aca="false">IF(OR(F124="qualitativ",F124="fehlend",NOT(ISNUMBER(L124))),"nicht auswertbar",IF(F124="Punkt","Punktprognose",IF(AND(ISNUMBER(I124),ISNUMBER(J124),I124&lt;&gt;J124),IF(L124&lt;I124,"unterhalb",IF(L124&gt;J124,"oberhalb","innerhalb")),"nicht auswertbar")))</f>
        <v>nicht auswertbar</v>
      </c>
      <c r="Y124" s="25" t="str">
        <f aca="false">IF(AND(ISNUMBER(S124),OR(G124="Marge %",G124="Wachstumsrate %")),ABS(S124),"")</f>
        <v/>
      </c>
      <c r="Z124" s="0" t="str">
        <f aca="false">IFERROR(VLOOKUP(A124,Unternehmen!$A:$D,4,FALSE()),"")</f>
        <v>Telekommunikation</v>
      </c>
    </row>
    <row r="125" customFormat="false" ht="15" hidden="false" customHeight="true" outlineLevel="0" collapsed="false">
      <c r="A125" s="15" t="s">
        <v>62</v>
      </c>
      <c r="B125" s="15" t="n">
        <v>2021</v>
      </c>
      <c r="C125" s="15" t="s">
        <v>158</v>
      </c>
      <c r="D125" s="15" t="s">
        <v>331</v>
      </c>
      <c r="E125" s="15" t="n">
        <v>109</v>
      </c>
      <c r="F125" s="15" t="s">
        <v>176</v>
      </c>
      <c r="G125" s="15" t="s">
        <v>177</v>
      </c>
      <c r="H125" s="15" t="s">
        <v>184</v>
      </c>
      <c r="I125" s="17" t="n">
        <v>37</v>
      </c>
      <c r="J125" s="17" t="n">
        <v>37</v>
      </c>
      <c r="K125" s="17" t="n">
        <f aca="false">L123</f>
        <v>35</v>
      </c>
      <c r="L125" s="17" t="n">
        <v>37.3</v>
      </c>
      <c r="M125" s="17" t="n">
        <f aca="false">L125-K125</f>
        <v>2.3</v>
      </c>
      <c r="N125" s="22" t="s">
        <v>164</v>
      </c>
      <c r="O125" s="15" t="s">
        <v>333</v>
      </c>
      <c r="P125" s="15" t="n">
        <v>123</v>
      </c>
      <c r="Q125" s="18"/>
      <c r="R125" s="25" t="n">
        <f aca="false">IF(NOT(ISNUMBER(I125)),"",IF(F125="Mindestprognose",I125,IF(ISNUMBER(J125),(I125+J125)/2,I125)))</f>
        <v>37</v>
      </c>
      <c r="S125" s="25" t="n">
        <f aca="false">IF(OR(R125="",NOT(ISNUMBER(L125))),"",R125-L125)</f>
        <v>-0.299999999999997</v>
      </c>
      <c r="T125" s="19" t="n">
        <f aca="false">IF(OR(S125="",G125&lt;&gt;"absolut",NOT(ISNUMBER(L125)),L125=0),"",S125/ABS(L125))</f>
        <v>-0.00804289544235917</v>
      </c>
      <c r="U125" s="19" t="n">
        <f aca="false">IF(T125="","",ABS(T125))</f>
        <v>0.00804289544235917</v>
      </c>
      <c r="V125" s="20" t="str">
        <f aca="false">IF(OR(F125="Punkt",NOT(ISNUMBER(L125))),"",IF(F125="Mindestprognose",IF(L125&gt;=I125,1,0),IF(AND(ISNUMBER(I125),ISNUMBER(J125),I125&lt;&gt;J125),IF(AND(L125&gt;=I125,L125&lt;=J125),1,0),"")))</f>
        <v/>
      </c>
      <c r="W125" s="18"/>
      <c r="X125" s="0" t="str">
        <f aca="false">IF(OR(F125="qualitativ",F125="fehlend",NOT(ISNUMBER(L125))),"nicht auswertbar",IF(F125="Punkt","Punktprognose",IF(AND(ISNUMBER(I125),ISNUMBER(J125),I125&lt;&gt;J125),IF(L125&lt;I125,"unterhalb",IF(L125&gt;J125,"oberhalb","innerhalb")),"nicht auswertbar")))</f>
        <v>Punktprognose</v>
      </c>
      <c r="Y125" s="25" t="str">
        <f aca="false">IF(AND(ISNUMBER(S125),OR(G125="Marge %",G125="Wachstumsrate %")),ABS(S125),"")</f>
        <v/>
      </c>
      <c r="Z125" s="0" t="str">
        <f aca="false">IFERROR(VLOOKUP(A125,Unternehmen!$A:$D,4,FALSE()),"")</f>
        <v>Telekommunikation</v>
      </c>
    </row>
    <row r="126" customFormat="false" ht="15" hidden="false" customHeight="true" outlineLevel="0" collapsed="false">
      <c r="A126" s="15" t="s">
        <v>62</v>
      </c>
      <c r="B126" s="15" t="n">
        <v>2022</v>
      </c>
      <c r="C126" s="15" t="s">
        <v>15</v>
      </c>
      <c r="D126" s="15" t="s">
        <v>333</v>
      </c>
      <c r="E126" s="15" t="n">
        <v>123</v>
      </c>
      <c r="F126" s="15" t="s">
        <v>187</v>
      </c>
      <c r="G126" s="15" t="s">
        <v>177</v>
      </c>
      <c r="H126" s="15" t="s">
        <v>184</v>
      </c>
      <c r="I126" s="24"/>
      <c r="J126" s="24"/>
      <c r="K126" s="17" t="n">
        <f aca="false">L124</f>
        <v>108.8</v>
      </c>
      <c r="L126" s="17" t="n">
        <v>114.4</v>
      </c>
      <c r="M126" s="17" t="n">
        <f aca="false">L126-K126</f>
        <v>5.60000000000001</v>
      </c>
      <c r="N126" s="22" t="s">
        <v>164</v>
      </c>
      <c r="O126" s="15" t="s">
        <v>335</v>
      </c>
      <c r="P126" s="15" t="n">
        <v>136</v>
      </c>
      <c r="Q126" s="18"/>
      <c r="R126" s="25" t="str">
        <f aca="false">IF(NOT(ISNUMBER(I126)),"",IF(F126="Mindestprognose",I126,IF(ISNUMBER(J126),(I126+J126)/2,I126)))</f>
        <v/>
      </c>
      <c r="S126" s="25" t="str">
        <f aca="false">IF(OR(R126="",NOT(ISNUMBER(L126))),"",R126-L126)</f>
        <v/>
      </c>
      <c r="T126" s="19" t="str">
        <f aca="false">IF(OR(S126="",G126&lt;&gt;"absolut",NOT(ISNUMBER(L126)),L126=0),"",S126/ABS(L126))</f>
        <v/>
      </c>
      <c r="U126" s="19" t="str">
        <f aca="false">IF(T126="","",ABS(T126))</f>
        <v/>
      </c>
      <c r="V126" s="20" t="str">
        <f aca="false">IF(OR(F126="Punkt",NOT(ISNUMBER(L126))),"",IF(F126="Mindestprognose",IF(L126&gt;=I126,1,0),IF(AND(ISNUMBER(I126),ISNUMBER(J126),I126&lt;&gt;J126),IF(AND(L126&gt;=I126,L126&lt;=J126),1,0),"")))</f>
        <v/>
      </c>
      <c r="W126" s="18" t="s">
        <v>336</v>
      </c>
      <c r="X126" s="0" t="str">
        <f aca="false">IF(OR(F126="qualitativ",F126="fehlend",NOT(ISNUMBER(L126))),"nicht auswertbar",IF(F126="Punkt","Punktprognose",IF(AND(ISNUMBER(I126),ISNUMBER(J126),I126&lt;&gt;J126),IF(L126&lt;I126,"unterhalb",IF(L126&gt;J126,"oberhalb","innerhalb")),"nicht auswertbar")))</f>
        <v>nicht auswertbar</v>
      </c>
      <c r="Y126" s="25" t="str">
        <f aca="false">IF(AND(ISNUMBER(S126),OR(G126="Marge %",G126="Wachstumsrate %")),ABS(S126),"")</f>
        <v/>
      </c>
      <c r="Z126" s="0" t="str">
        <f aca="false">IFERROR(VLOOKUP(A126,Unternehmen!$A:$D,4,FALSE()),"")</f>
        <v>Telekommunikation</v>
      </c>
    </row>
    <row r="127" customFormat="false" ht="15" hidden="false" customHeight="true" outlineLevel="0" collapsed="false">
      <c r="A127" s="15" t="s">
        <v>62</v>
      </c>
      <c r="B127" s="15" t="n">
        <v>2022</v>
      </c>
      <c r="C127" s="15" t="s">
        <v>158</v>
      </c>
      <c r="D127" s="15" t="s">
        <v>333</v>
      </c>
      <c r="E127" s="15" t="n">
        <v>123</v>
      </c>
      <c r="F127" s="15" t="s">
        <v>176</v>
      </c>
      <c r="G127" s="15" t="s">
        <v>177</v>
      </c>
      <c r="H127" s="15" t="s">
        <v>184</v>
      </c>
      <c r="I127" s="17" t="n">
        <v>36.5</v>
      </c>
      <c r="J127" s="17" t="n">
        <v>36.5</v>
      </c>
      <c r="K127" s="17" t="n">
        <f aca="false">L125</f>
        <v>37.3</v>
      </c>
      <c r="L127" s="17" t="n">
        <v>40.2</v>
      </c>
      <c r="M127" s="17" t="n">
        <f aca="false">L127-K127</f>
        <v>2.90000000000001</v>
      </c>
      <c r="N127" s="23" t="s">
        <v>174</v>
      </c>
      <c r="O127" s="15" t="s">
        <v>335</v>
      </c>
      <c r="P127" s="15" t="n">
        <v>136</v>
      </c>
      <c r="Q127" s="18"/>
      <c r="R127" s="25" t="n">
        <f aca="false">IF(NOT(ISNUMBER(I127)),"",IF(F127="Mindestprognose",I127,IF(ISNUMBER(J127),(I127+J127)/2,I127)))</f>
        <v>36.5</v>
      </c>
      <c r="S127" s="25" t="n">
        <f aca="false">IF(OR(R127="",NOT(ISNUMBER(L127))),"",R127-L127)</f>
        <v>-3.7</v>
      </c>
      <c r="T127" s="19" t="n">
        <f aca="false">IF(OR(S127="",G127&lt;&gt;"absolut",NOT(ISNUMBER(L127)),L127=0),"",S127/ABS(L127))</f>
        <v>-0.0920398009950249</v>
      </c>
      <c r="U127" s="19" t="n">
        <f aca="false">IF(T127="","",ABS(T127))</f>
        <v>0.0920398009950249</v>
      </c>
      <c r="V127" s="20" t="str">
        <f aca="false">IF(OR(F127="Punkt",NOT(ISNUMBER(L127))),"",IF(F127="Mindestprognose",IF(L127&gt;=I127,1,0),IF(AND(ISNUMBER(I127),ISNUMBER(J127),I127&lt;&gt;J127),IF(AND(L127&gt;=I127,L127&lt;=J127),1,0),"")))</f>
        <v/>
      </c>
      <c r="W127" s="18"/>
      <c r="X127" s="0" t="str">
        <f aca="false">IF(OR(F127="qualitativ",F127="fehlend",NOT(ISNUMBER(L127))),"nicht auswertbar",IF(F127="Punkt","Punktprognose",IF(AND(ISNUMBER(I127),ISNUMBER(J127),I127&lt;&gt;J127),IF(L127&lt;I127,"unterhalb",IF(L127&gt;J127,"oberhalb","innerhalb")),"nicht auswertbar")))</f>
        <v>Punktprognose</v>
      </c>
      <c r="Y127" s="25" t="str">
        <f aca="false">IF(AND(ISNUMBER(S127),OR(G127="Marge %",G127="Wachstumsrate %")),ABS(S127),"")</f>
        <v/>
      </c>
      <c r="Z127" s="0" t="str">
        <f aca="false">IFERROR(VLOOKUP(A127,Unternehmen!$A:$D,4,FALSE()),"")</f>
        <v>Telekommunikation</v>
      </c>
    </row>
    <row r="128" customFormat="false" ht="15" hidden="false" customHeight="true" outlineLevel="0" collapsed="false">
      <c r="A128" s="15" t="s">
        <v>62</v>
      </c>
      <c r="B128" s="15" t="n">
        <v>2023</v>
      </c>
      <c r="C128" s="15" t="s">
        <v>15</v>
      </c>
      <c r="D128" s="15" t="s">
        <v>335</v>
      </c>
      <c r="E128" s="15" t="n">
        <v>136</v>
      </c>
      <c r="F128" s="15" t="s">
        <v>187</v>
      </c>
      <c r="G128" s="15" t="s">
        <v>177</v>
      </c>
      <c r="H128" s="15" t="s">
        <v>184</v>
      </c>
      <c r="I128" s="24"/>
      <c r="J128" s="24"/>
      <c r="K128" s="17" t="n">
        <f aca="false">L126</f>
        <v>114.4</v>
      </c>
      <c r="L128" s="17" t="n">
        <v>112</v>
      </c>
      <c r="M128" s="17" t="n">
        <f aca="false">L128-K128</f>
        <v>-2.40000000000001</v>
      </c>
      <c r="N128" s="17" t="s">
        <v>337</v>
      </c>
      <c r="O128" s="15" t="s">
        <v>338</v>
      </c>
      <c r="P128" s="15" t="n">
        <v>136</v>
      </c>
      <c r="Q128" s="18"/>
      <c r="R128" s="25" t="str">
        <f aca="false">IF(NOT(ISNUMBER(I128)),"",IF(F128="Mindestprognose",I128,IF(ISNUMBER(J128),(I128+J128)/2,I128)))</f>
        <v/>
      </c>
      <c r="S128" s="25" t="str">
        <f aca="false">IF(OR(R128="",NOT(ISNUMBER(L128))),"",R128-L128)</f>
        <v/>
      </c>
      <c r="T128" s="19" t="str">
        <f aca="false">IF(OR(S128="",G128&lt;&gt;"absolut",NOT(ISNUMBER(L128)),L128=0),"",S128/ABS(L128))</f>
        <v/>
      </c>
      <c r="U128" s="19" t="str">
        <f aca="false">IF(T128="","",ABS(T128))</f>
        <v/>
      </c>
      <c r="V128" s="20" t="str">
        <f aca="false">IF(OR(F128="Punkt",NOT(ISNUMBER(L128))),"",IF(F128="Mindestprognose",IF(L128&gt;=I128,1,0),IF(AND(ISNUMBER(I128),ISNUMBER(J128),I128&lt;&gt;J128),IF(AND(L128&gt;=I128,L128&lt;=J128),1,0),"")))</f>
        <v/>
      </c>
      <c r="W128" s="18" t="s">
        <v>334</v>
      </c>
      <c r="X128" s="0" t="str">
        <f aca="false">IF(OR(F128="qualitativ",F128="fehlend",NOT(ISNUMBER(L128))),"nicht auswertbar",IF(F128="Punkt","Punktprognose",IF(AND(ISNUMBER(I128),ISNUMBER(J128),I128&lt;&gt;J128),IF(L128&lt;I128,"unterhalb",IF(L128&gt;J128,"oberhalb","innerhalb")),"nicht auswertbar")))</f>
        <v>nicht auswertbar</v>
      </c>
      <c r="Y128" s="25" t="str">
        <f aca="false">IF(AND(ISNUMBER(S128),OR(G128="Marge %",G128="Wachstumsrate %")),ABS(S128),"")</f>
        <v/>
      </c>
      <c r="Z128" s="0" t="str">
        <f aca="false">IFERROR(VLOOKUP(A128,Unternehmen!$A:$D,4,FALSE()),"")</f>
        <v>Telekommunikation</v>
      </c>
    </row>
    <row r="129" customFormat="false" ht="15" hidden="false" customHeight="true" outlineLevel="0" collapsed="false">
      <c r="A129" s="15" t="s">
        <v>62</v>
      </c>
      <c r="B129" s="15" t="n">
        <v>2023</v>
      </c>
      <c r="C129" s="15" t="s">
        <v>158</v>
      </c>
      <c r="D129" s="15" t="s">
        <v>335</v>
      </c>
      <c r="E129" s="15" t="n">
        <v>136</v>
      </c>
      <c r="F129" s="15" t="s">
        <v>176</v>
      </c>
      <c r="G129" s="15" t="s">
        <v>177</v>
      </c>
      <c r="H129" s="15" t="s">
        <v>184</v>
      </c>
      <c r="I129" s="17" t="n">
        <v>40.8</v>
      </c>
      <c r="J129" s="17" t="n">
        <v>40.8</v>
      </c>
      <c r="K129" s="17" t="n">
        <f aca="false">L127</f>
        <v>40.2</v>
      </c>
      <c r="L129" s="17" t="n">
        <v>40.5</v>
      </c>
      <c r="M129" s="17" t="n">
        <f aca="false">L129-K129</f>
        <v>0.299999999999997</v>
      </c>
      <c r="N129" s="15" t="s">
        <v>339</v>
      </c>
      <c r="O129" s="15" t="s">
        <v>338</v>
      </c>
      <c r="P129" s="15" t="n">
        <v>136</v>
      </c>
      <c r="Q129" s="18"/>
      <c r="R129" s="25" t="n">
        <f aca="false">IF(NOT(ISNUMBER(I129)),"",IF(F129="Mindestprognose",I129,IF(ISNUMBER(J129),(I129+J129)/2,I129)))</f>
        <v>40.8</v>
      </c>
      <c r="S129" s="25" t="n">
        <f aca="false">IF(OR(R129="",NOT(ISNUMBER(L129))),"",R129-L129)</f>
        <v>0.299999999999997</v>
      </c>
      <c r="T129" s="19" t="n">
        <f aca="false">IF(OR(S129="",G129&lt;&gt;"absolut",NOT(ISNUMBER(L129)),L129=0),"",S129/ABS(L129))</f>
        <v>0.00740740740740734</v>
      </c>
      <c r="U129" s="19" t="n">
        <f aca="false">IF(T129="","",ABS(T129))</f>
        <v>0.00740740740740734</v>
      </c>
      <c r="V129" s="20" t="str">
        <f aca="false">IF(OR(F129="Punkt",NOT(ISNUMBER(L129))),"",IF(F129="Mindestprognose",IF(L129&gt;=I129,1,0),IF(AND(ISNUMBER(I129),ISNUMBER(J129),I129&lt;&gt;J129),IF(AND(L129&gt;=I129,L129&lt;=J129),1,0),"")))</f>
        <v/>
      </c>
      <c r="W129" s="18"/>
      <c r="X129" s="0" t="str">
        <f aca="false">IF(OR(F129="qualitativ",F129="fehlend",NOT(ISNUMBER(L129))),"nicht auswertbar",IF(F129="Punkt","Punktprognose",IF(AND(ISNUMBER(I129),ISNUMBER(J129),I129&lt;&gt;J129),IF(L129&lt;I129,"unterhalb",IF(L129&gt;J129,"oberhalb","innerhalb")),"nicht auswertbar")))</f>
        <v>Punktprognose</v>
      </c>
      <c r="Y129" s="25" t="str">
        <f aca="false">IF(AND(ISNUMBER(S129),OR(G129="Marge %",G129="Wachstumsrate %")),ABS(S129),"")</f>
        <v/>
      </c>
      <c r="Z129" s="0" t="str">
        <f aca="false">IFERROR(VLOOKUP(A129,Unternehmen!$A:$D,4,FALSE()),"")</f>
        <v>Telekommunikation</v>
      </c>
    </row>
    <row r="130" customFormat="false" ht="15" hidden="false" customHeight="true" outlineLevel="0" collapsed="false">
      <c r="A130" s="15" t="s">
        <v>62</v>
      </c>
      <c r="B130" s="15" t="n">
        <v>2024</v>
      </c>
      <c r="C130" s="15" t="s">
        <v>15</v>
      </c>
      <c r="D130" s="15" t="s">
        <v>338</v>
      </c>
      <c r="E130" s="15" t="n">
        <v>136</v>
      </c>
      <c r="F130" s="15" t="s">
        <v>187</v>
      </c>
      <c r="G130" s="15" t="s">
        <v>177</v>
      </c>
      <c r="H130" s="15" t="s">
        <v>184</v>
      </c>
      <c r="I130" s="24"/>
      <c r="J130" s="24"/>
      <c r="K130" s="17" t="n">
        <f aca="false">L128</f>
        <v>112</v>
      </c>
      <c r="L130" s="17" t="n">
        <v>115.8</v>
      </c>
      <c r="M130" s="17" t="n">
        <f aca="false">L130-K130</f>
        <v>3.8</v>
      </c>
      <c r="N130" s="22" t="s">
        <v>164</v>
      </c>
      <c r="O130" s="15" t="s">
        <v>340</v>
      </c>
      <c r="P130" s="15" t="n">
        <v>182</v>
      </c>
      <c r="Q130" s="18"/>
      <c r="R130" s="25" t="str">
        <f aca="false">IF(NOT(ISNUMBER(I130)),"",IF(F130="Mindestprognose",I130,IF(ISNUMBER(J130),(I130+J130)/2,I130)))</f>
        <v/>
      </c>
      <c r="S130" s="25" t="str">
        <f aca="false">IF(OR(R130="",NOT(ISNUMBER(L130))),"",R130-L130)</f>
        <v/>
      </c>
      <c r="T130" s="19" t="str">
        <f aca="false">IF(OR(S130="",G130&lt;&gt;"absolut",NOT(ISNUMBER(L130)),L130=0),"",S130/ABS(L130))</f>
        <v/>
      </c>
      <c r="U130" s="19" t="str">
        <f aca="false">IF(T130="","",ABS(T130))</f>
        <v/>
      </c>
      <c r="V130" s="20" t="str">
        <f aca="false">IF(OR(F130="Punkt",NOT(ISNUMBER(L130))),"",IF(F130="Mindestprognose",IF(L130&gt;=I130,1,0),IF(AND(ISNUMBER(I130),ISNUMBER(J130),I130&lt;&gt;J130),IF(AND(L130&gt;=I130,L130&lt;=J130),1,0),"")))</f>
        <v/>
      </c>
      <c r="W130" s="18" t="s">
        <v>332</v>
      </c>
      <c r="X130" s="0" t="str">
        <f aca="false">IF(OR(F130="qualitativ",F130="fehlend",NOT(ISNUMBER(L130))),"nicht auswertbar",IF(F130="Punkt","Punktprognose",IF(AND(ISNUMBER(I130),ISNUMBER(J130),I130&lt;&gt;J130),IF(L130&lt;I130,"unterhalb",IF(L130&gt;J130,"oberhalb","innerhalb")),"nicht auswertbar")))</f>
        <v>nicht auswertbar</v>
      </c>
      <c r="Y130" s="25" t="str">
        <f aca="false">IF(AND(ISNUMBER(S130),OR(G130="Marge %",G130="Wachstumsrate %")),ABS(S130),"")</f>
        <v/>
      </c>
      <c r="Z130" s="0" t="str">
        <f aca="false">IFERROR(VLOOKUP(A130,Unternehmen!$A:$D,4,FALSE()),"")</f>
        <v>Telekommunikation</v>
      </c>
    </row>
    <row r="131" customFormat="false" ht="15" hidden="false" customHeight="true" outlineLevel="0" collapsed="false">
      <c r="A131" s="15" t="s">
        <v>62</v>
      </c>
      <c r="B131" s="15" t="n">
        <v>2024</v>
      </c>
      <c r="C131" s="15" t="s">
        <v>158</v>
      </c>
      <c r="D131" s="15" t="s">
        <v>338</v>
      </c>
      <c r="E131" s="15" t="n">
        <v>136</v>
      </c>
      <c r="F131" s="15" t="s">
        <v>176</v>
      </c>
      <c r="G131" s="15" t="s">
        <v>177</v>
      </c>
      <c r="H131" s="15" t="s">
        <v>184</v>
      </c>
      <c r="I131" s="17" t="n">
        <v>42.9</v>
      </c>
      <c r="J131" s="17" t="n">
        <v>42.9</v>
      </c>
      <c r="K131" s="17" t="n">
        <f aca="false">L129</f>
        <v>40.5</v>
      </c>
      <c r="L131" s="17" t="n">
        <v>43</v>
      </c>
      <c r="M131" s="17" t="n">
        <f aca="false">L131-K131</f>
        <v>2.5</v>
      </c>
      <c r="N131" s="22" t="s">
        <v>164</v>
      </c>
      <c r="O131" s="15" t="s">
        <v>340</v>
      </c>
      <c r="P131" s="15" t="n">
        <v>182</v>
      </c>
      <c r="Q131" s="18"/>
      <c r="R131" s="25" t="n">
        <f aca="false">IF(NOT(ISNUMBER(I131)),"",IF(F131="Mindestprognose",I131,IF(ISNUMBER(J131),(I131+J131)/2,I131)))</f>
        <v>42.9</v>
      </c>
      <c r="S131" s="25" t="n">
        <f aca="false">IF(OR(R131="",NOT(ISNUMBER(L131))),"",R131-L131)</f>
        <v>-0.100000000000001</v>
      </c>
      <c r="T131" s="19" t="n">
        <f aca="false">IF(OR(S131="",G131&lt;&gt;"absolut",NOT(ISNUMBER(L131)),L131=0),"",S131/ABS(L131))</f>
        <v>-0.00232558139534887</v>
      </c>
      <c r="U131" s="19" t="n">
        <f aca="false">IF(T131="","",ABS(T131))</f>
        <v>0.00232558139534887</v>
      </c>
      <c r="V131" s="20" t="str">
        <f aca="false">IF(OR(F131="Punkt",NOT(ISNUMBER(L131))),"",IF(F131="Mindestprognose",IF(L131&gt;=I131,1,0),IF(AND(ISNUMBER(I131),ISNUMBER(J131),I131&lt;&gt;J131),IF(AND(L131&gt;=I131,L131&lt;=J131),1,0),"")))</f>
        <v/>
      </c>
      <c r="W131" s="18"/>
      <c r="X131" s="0" t="str">
        <f aca="false">IF(OR(F131="qualitativ",F131="fehlend",NOT(ISNUMBER(L131))),"nicht auswertbar",IF(F131="Punkt","Punktprognose",IF(AND(ISNUMBER(I131),ISNUMBER(J131),I131&lt;&gt;J131),IF(L131&lt;I131,"unterhalb",IF(L131&gt;J131,"oberhalb","innerhalb")),"nicht auswertbar")))</f>
        <v>Punktprognose</v>
      </c>
      <c r="Y131" s="25" t="str">
        <f aca="false">IF(AND(ISNUMBER(S131),OR(G131="Marge %",G131="Wachstumsrate %")),ABS(S131),"")</f>
        <v/>
      </c>
      <c r="Z131" s="0" t="str">
        <f aca="false">IFERROR(VLOOKUP(A131,Unternehmen!$A:$D,4,FALSE()),"")</f>
        <v>Telekommunikation</v>
      </c>
    </row>
    <row r="132" customFormat="false" ht="15" hidden="false" customHeight="true" outlineLevel="0" collapsed="false">
      <c r="A132" s="15" t="s">
        <v>66</v>
      </c>
      <c r="B132" s="15" t="n">
        <v>2020</v>
      </c>
      <c r="C132" s="15" t="s">
        <v>15</v>
      </c>
      <c r="D132" s="28"/>
      <c r="E132" s="28"/>
      <c r="F132" s="28" t="s">
        <v>206</v>
      </c>
      <c r="G132" s="28"/>
      <c r="H132" s="28"/>
      <c r="I132" s="24"/>
      <c r="J132" s="24"/>
      <c r="K132" s="24"/>
      <c r="L132" s="24"/>
      <c r="M132" s="24"/>
      <c r="N132" s="24"/>
      <c r="O132" s="28"/>
      <c r="P132" s="28"/>
      <c r="Q132" s="18"/>
      <c r="R132" s="25" t="str">
        <f aca="false">IF(NOT(ISNUMBER(I132)),"",IF(F132="Mindestprognose",I132,IF(ISNUMBER(J132),(I132+J132)/2,I132)))</f>
        <v/>
      </c>
      <c r="S132" s="25" t="str">
        <f aca="false">IF(OR(R132="",NOT(ISNUMBER(L132))),"",R132-L132)</f>
        <v/>
      </c>
      <c r="T132" s="19" t="str">
        <f aca="false">IF(OR(S132="",G132&lt;&gt;"absolut",NOT(ISNUMBER(L132)),L132=0),"",S132/ABS(L132))</f>
        <v/>
      </c>
      <c r="U132" s="19" t="str">
        <f aca="false">IF(T132="","",ABS(T132))</f>
        <v/>
      </c>
      <c r="V132" s="20" t="str">
        <f aca="false">IF(OR(F132="Punkt",NOT(ISNUMBER(L132))),"",IF(F132="Mindestprognose",IF(L132&gt;=I132,1,0),IF(AND(ISNUMBER(I132),ISNUMBER(J132),I132&lt;&gt;J132),IF(AND(L132&gt;=I132,L132&lt;=J132),1,0),"")))</f>
        <v/>
      </c>
      <c r="W132" s="18"/>
      <c r="X132" s="0" t="str">
        <f aca="false">IF(OR(F132="qualitativ",F132="fehlend",NOT(ISNUMBER(L132))),"nicht auswertbar",IF(F132="Punkt","Punktprognose",IF(AND(ISNUMBER(I132),ISNUMBER(J132),I132&lt;&gt;J132),IF(L132&lt;I132,"unterhalb",IF(L132&gt;J132,"oberhalb","innerhalb")),"nicht auswertbar")))</f>
        <v>nicht auswertbar</v>
      </c>
      <c r="Y132" s="25" t="str">
        <f aca="false">IF(AND(ISNUMBER(S132),OR(G132="Marge %",G132="Wachstumsrate %")),ABS(S132),"")</f>
        <v/>
      </c>
      <c r="Z132" s="0" t="str">
        <f aca="false">IFERROR(VLOOKUP(A132,Unternehmen!$A:$D,4,FALSE()),"")</f>
        <v>Versorger</v>
      </c>
    </row>
    <row r="133" customFormat="false" ht="15" hidden="false" customHeight="true" outlineLevel="0" collapsed="false">
      <c r="A133" s="15" t="s">
        <v>66</v>
      </c>
      <c r="B133" s="15" t="n">
        <v>2020</v>
      </c>
      <c r="C133" s="15" t="s">
        <v>158</v>
      </c>
      <c r="D133" s="15" t="s">
        <v>341</v>
      </c>
      <c r="E133" s="15" t="n">
        <v>40</v>
      </c>
      <c r="F133" s="15" t="s">
        <v>183</v>
      </c>
      <c r="G133" s="15" t="s">
        <v>177</v>
      </c>
      <c r="H133" s="15" t="s">
        <v>184</v>
      </c>
      <c r="I133" s="17" t="n">
        <v>3.9</v>
      </c>
      <c r="J133" s="17" t="n">
        <v>4.1</v>
      </c>
      <c r="K133" s="17" t="n">
        <v>3.2</v>
      </c>
      <c r="L133" s="17" t="n">
        <v>3.8</v>
      </c>
      <c r="M133" s="17" t="n">
        <f aca="false">L133-K133</f>
        <v>0.6</v>
      </c>
      <c r="N133" s="17" t="s">
        <v>342</v>
      </c>
      <c r="O133" s="15" t="s">
        <v>343</v>
      </c>
      <c r="P133" s="15" t="n">
        <v>31</v>
      </c>
      <c r="Q133" s="18"/>
      <c r="R133" s="25" t="n">
        <f aca="false">IF(NOT(ISNUMBER(I133)),"",IF(F133="Mindestprognose",I133,IF(ISNUMBER(J133),(I133+J133)/2,I133)))</f>
        <v>4</v>
      </c>
      <c r="S133" s="25" t="n">
        <f aca="false">IF(OR(R133="",NOT(ISNUMBER(L133))),"",R133-L133)</f>
        <v>0.2</v>
      </c>
      <c r="T133" s="19" t="n">
        <f aca="false">IF(OR(S133="",G133&lt;&gt;"absolut",NOT(ISNUMBER(L133)),L133=0),"",S133/ABS(L133))</f>
        <v>0.0526315789473685</v>
      </c>
      <c r="U133" s="19" t="n">
        <f aca="false">IF(T133="","",ABS(T133))</f>
        <v>0.0526315789473685</v>
      </c>
      <c r="V133" s="20" t="n">
        <f aca="false">IF(OR(F133="Punkt",NOT(ISNUMBER(L133))),"",IF(F133="Mindestprognose",IF(L133&gt;=I133,1,0),IF(AND(ISNUMBER(I133),ISNUMBER(J133),I133&lt;&gt;J133),IF(AND(L133&gt;=I133,L133&lt;=J133),1,0),"")))</f>
        <v>0</v>
      </c>
      <c r="W133" s="18"/>
      <c r="X133" s="0" t="str">
        <f aca="false">IF(OR(F133="qualitativ",F133="fehlend",NOT(ISNUMBER(L133))),"nicht auswertbar",IF(F133="Punkt","Punktprognose",IF(AND(ISNUMBER(I133),ISNUMBER(J133),I133&lt;&gt;J133),IF(L133&lt;I133,"unterhalb",IF(L133&gt;J133,"oberhalb","innerhalb")),"nicht auswertbar")))</f>
        <v>unterhalb</v>
      </c>
      <c r="Y133" s="25" t="str">
        <f aca="false">IF(AND(ISNUMBER(S133),OR(G133="Marge %",G133="Wachstumsrate %")),ABS(S133),"")</f>
        <v/>
      </c>
      <c r="Z133" s="0" t="str">
        <f aca="false">IFERROR(VLOOKUP(A133,Unternehmen!$A:$D,4,FALSE()),"")</f>
        <v>Versorger</v>
      </c>
    </row>
    <row r="134" customFormat="false" ht="15" hidden="false" customHeight="true" outlineLevel="0" collapsed="false">
      <c r="A134" s="15" t="s">
        <v>66</v>
      </c>
      <c r="B134" s="15" t="n">
        <v>2021</v>
      </c>
      <c r="C134" s="15" t="s">
        <v>15</v>
      </c>
      <c r="D134" s="28"/>
      <c r="E134" s="28"/>
      <c r="F134" s="28" t="s">
        <v>206</v>
      </c>
      <c r="G134" s="28"/>
      <c r="H134" s="28"/>
      <c r="I134" s="24"/>
      <c r="J134" s="24"/>
      <c r="K134" s="24"/>
      <c r="L134" s="24"/>
      <c r="M134" s="24"/>
      <c r="N134" s="24"/>
      <c r="O134" s="28"/>
      <c r="P134" s="28"/>
      <c r="Q134" s="18"/>
      <c r="R134" s="25" t="str">
        <f aca="false">IF(NOT(ISNUMBER(I134)),"",IF(F134="Mindestprognose",I134,IF(ISNUMBER(J134),(I134+J134)/2,I134)))</f>
        <v/>
      </c>
      <c r="S134" s="25" t="str">
        <f aca="false">IF(OR(R134="",NOT(ISNUMBER(L134))),"",R134-L134)</f>
        <v/>
      </c>
      <c r="T134" s="19" t="str">
        <f aca="false">IF(OR(S134="",G134&lt;&gt;"absolut",NOT(ISNUMBER(L134)),L134=0),"",S134/ABS(L134))</f>
        <v/>
      </c>
      <c r="U134" s="19" t="str">
        <f aca="false">IF(T134="","",ABS(T134))</f>
        <v/>
      </c>
      <c r="V134" s="20" t="str">
        <f aca="false">IF(OR(F134="Punkt",NOT(ISNUMBER(L134))),"",IF(F134="Mindestprognose",IF(L134&gt;=I134,1,0),IF(AND(ISNUMBER(I134),ISNUMBER(J134),I134&lt;&gt;J134),IF(AND(L134&gt;=I134,L134&lt;=J134),1,0),"")))</f>
        <v/>
      </c>
      <c r="W134" s="18"/>
      <c r="X134" s="0" t="str">
        <f aca="false">IF(OR(F134="qualitativ",F134="fehlend",NOT(ISNUMBER(L134))),"nicht auswertbar",IF(F134="Punkt","Punktprognose",IF(AND(ISNUMBER(I134),ISNUMBER(J134),I134&lt;&gt;J134),IF(L134&lt;I134,"unterhalb",IF(L134&gt;J134,"oberhalb","innerhalb")),"nicht auswertbar")))</f>
        <v>nicht auswertbar</v>
      </c>
      <c r="Y134" s="25" t="str">
        <f aca="false">IF(AND(ISNUMBER(S134),OR(G134="Marge %",G134="Wachstumsrate %")),ABS(S134),"")</f>
        <v/>
      </c>
      <c r="Z134" s="0" t="str">
        <f aca="false">IFERROR(VLOOKUP(A134,Unternehmen!$A:$D,4,FALSE()),"")</f>
        <v>Versorger</v>
      </c>
    </row>
    <row r="135" customFormat="false" ht="15" hidden="false" customHeight="true" outlineLevel="0" collapsed="false">
      <c r="A135" s="15" t="s">
        <v>66</v>
      </c>
      <c r="B135" s="15" t="n">
        <v>2021</v>
      </c>
      <c r="C135" s="15" t="s">
        <v>158</v>
      </c>
      <c r="D135" s="15" t="s">
        <v>343</v>
      </c>
      <c r="E135" s="15" t="n">
        <v>55</v>
      </c>
      <c r="F135" s="15" t="s">
        <v>183</v>
      </c>
      <c r="G135" s="15" t="s">
        <v>177</v>
      </c>
      <c r="H135" s="15" t="s">
        <v>184</v>
      </c>
      <c r="I135" s="17" t="n">
        <v>3.8</v>
      </c>
      <c r="J135" s="17" t="n">
        <v>4</v>
      </c>
      <c r="K135" s="17" t="n">
        <f aca="false">L133</f>
        <v>3.8</v>
      </c>
      <c r="L135" s="17" t="n">
        <v>4.7</v>
      </c>
      <c r="M135" s="17" t="n">
        <f aca="false">L135-K135</f>
        <v>0.9</v>
      </c>
      <c r="N135" s="23" t="s">
        <v>174</v>
      </c>
      <c r="O135" s="15" t="s">
        <v>344</v>
      </c>
      <c r="P135" s="15" t="n">
        <v>107</v>
      </c>
      <c r="Q135" s="18"/>
      <c r="R135" s="25" t="n">
        <f aca="false">IF(NOT(ISNUMBER(I135)),"",IF(F135="Mindestprognose",I135,IF(ISNUMBER(J135),(I135+J135)/2,I135)))</f>
        <v>3.9</v>
      </c>
      <c r="S135" s="25" t="n">
        <f aca="false">IF(OR(R135="",NOT(ISNUMBER(L135))),"",R135-L135)</f>
        <v>-0.8</v>
      </c>
      <c r="T135" s="19" t="n">
        <f aca="false">IF(OR(S135="",G135&lt;&gt;"absolut",NOT(ISNUMBER(L135)),L135=0),"",S135/ABS(L135))</f>
        <v>-0.170212765957447</v>
      </c>
      <c r="U135" s="19" t="n">
        <f aca="false">IF(T135="","",ABS(T135))</f>
        <v>0.170212765957447</v>
      </c>
      <c r="V135" s="20" t="n">
        <f aca="false">IF(OR(F135="Punkt",NOT(ISNUMBER(L135))),"",IF(F135="Mindestprognose",IF(L135&gt;=I135,1,0),IF(AND(ISNUMBER(I135),ISNUMBER(J135),I135&lt;&gt;J135),IF(AND(L135&gt;=I135,L135&lt;=J135),1,0),"")))</f>
        <v>0</v>
      </c>
      <c r="W135" s="18"/>
      <c r="X135" s="0" t="str">
        <f aca="false">IF(OR(F135="qualitativ",F135="fehlend",NOT(ISNUMBER(L135))),"nicht auswertbar",IF(F135="Punkt","Punktprognose",IF(AND(ISNUMBER(I135),ISNUMBER(J135),I135&lt;&gt;J135),IF(L135&lt;I135,"unterhalb",IF(L135&gt;J135,"oberhalb","innerhalb")),"nicht auswertbar")))</f>
        <v>oberhalb</v>
      </c>
      <c r="Y135" s="25" t="str">
        <f aca="false">IF(AND(ISNUMBER(S135),OR(G135="Marge %",G135="Wachstumsrate %")),ABS(S135),"")</f>
        <v/>
      </c>
      <c r="Z135" s="0" t="str">
        <f aca="false">IFERROR(VLOOKUP(A135,Unternehmen!$A:$D,4,FALSE()),"")</f>
        <v>Versorger</v>
      </c>
    </row>
    <row r="136" customFormat="false" ht="15" hidden="false" customHeight="true" outlineLevel="0" collapsed="false">
      <c r="A136" s="15" t="s">
        <v>66</v>
      </c>
      <c r="B136" s="15" t="n">
        <v>2022</v>
      </c>
      <c r="C136" s="15" t="s">
        <v>15</v>
      </c>
      <c r="D136" s="28"/>
      <c r="E136" s="28"/>
      <c r="F136" s="28" t="s">
        <v>206</v>
      </c>
      <c r="G136" s="28"/>
      <c r="H136" s="28"/>
      <c r="I136" s="24"/>
      <c r="J136" s="24"/>
      <c r="K136" s="24"/>
      <c r="L136" s="24"/>
      <c r="M136" s="24"/>
      <c r="N136" s="24"/>
      <c r="O136" s="28"/>
      <c r="P136" s="28"/>
      <c r="Q136" s="18"/>
      <c r="R136" s="25" t="str">
        <f aca="false">IF(NOT(ISNUMBER(I136)),"",IF(F136="Mindestprognose",I136,IF(ISNUMBER(J136),(I136+J136)/2,I136)))</f>
        <v/>
      </c>
      <c r="S136" s="25" t="str">
        <f aca="false">IF(OR(R136="",NOT(ISNUMBER(L136))),"",R136-L136)</f>
        <v/>
      </c>
      <c r="T136" s="19" t="str">
        <f aca="false">IF(OR(S136="",G136&lt;&gt;"absolut",NOT(ISNUMBER(L136)),L136=0),"",S136/ABS(L136))</f>
        <v/>
      </c>
      <c r="U136" s="19" t="str">
        <f aca="false">IF(T136="","",ABS(T136))</f>
        <v/>
      </c>
      <c r="V136" s="20" t="str">
        <f aca="false">IF(OR(F136="Punkt",NOT(ISNUMBER(L136))),"",IF(F136="Mindestprognose",IF(L136&gt;=I136,1,0),IF(AND(ISNUMBER(I136),ISNUMBER(J136),I136&lt;&gt;J136),IF(AND(L136&gt;=I136,L136&lt;=J136),1,0),"")))</f>
        <v/>
      </c>
      <c r="W136" s="18"/>
      <c r="X136" s="0" t="str">
        <f aca="false">IF(OR(F136="qualitativ",F136="fehlend",NOT(ISNUMBER(L136))),"nicht auswertbar",IF(F136="Punkt","Punktprognose",IF(AND(ISNUMBER(I136),ISNUMBER(J136),I136&lt;&gt;J136),IF(L136&lt;I136,"unterhalb",IF(L136&gt;J136,"oberhalb","innerhalb")),"nicht auswertbar")))</f>
        <v>nicht auswertbar</v>
      </c>
      <c r="Y136" s="25" t="str">
        <f aca="false">IF(AND(ISNUMBER(S136),OR(G136="Marge %",G136="Wachstumsrate %")),ABS(S136),"")</f>
        <v/>
      </c>
      <c r="Z136" s="0" t="str">
        <f aca="false">IFERROR(VLOOKUP(A136,Unternehmen!$A:$D,4,FALSE()),"")</f>
        <v>Versorger</v>
      </c>
    </row>
    <row r="137" customFormat="false" ht="15" hidden="false" customHeight="true" outlineLevel="0" collapsed="false">
      <c r="A137" s="15" t="s">
        <v>66</v>
      </c>
      <c r="B137" s="15" t="n">
        <v>2022</v>
      </c>
      <c r="C137" s="15" t="s">
        <v>158</v>
      </c>
      <c r="D137" s="15" t="s">
        <v>344</v>
      </c>
      <c r="E137" s="15" t="n">
        <v>81</v>
      </c>
      <c r="F137" s="15" t="s">
        <v>183</v>
      </c>
      <c r="G137" s="15" t="s">
        <v>177</v>
      </c>
      <c r="H137" s="15" t="s">
        <v>184</v>
      </c>
      <c r="I137" s="17" t="n">
        <v>7.6</v>
      </c>
      <c r="J137" s="17" t="n">
        <v>7.8</v>
      </c>
      <c r="K137" s="17" t="n">
        <v>7.9</v>
      </c>
      <c r="L137" s="17" t="n">
        <v>8.1</v>
      </c>
      <c r="M137" s="17" t="n">
        <f aca="false">L137-K137</f>
        <v>0.199999999999999</v>
      </c>
      <c r="N137" s="23" t="s">
        <v>174</v>
      </c>
      <c r="O137" s="15" t="s">
        <v>345</v>
      </c>
      <c r="P137" s="15" t="n">
        <v>158</v>
      </c>
      <c r="Q137" s="18"/>
      <c r="R137" s="25" t="n">
        <f aca="false">IF(NOT(ISNUMBER(I137)),"",IF(F137="Mindestprognose",I137,IF(ISNUMBER(J137),(I137+J137)/2,I137)))</f>
        <v>7.7</v>
      </c>
      <c r="S137" s="25" t="n">
        <f aca="false">IF(OR(R137="",NOT(ISNUMBER(L137))),"",R137-L137)</f>
        <v>-0.4</v>
      </c>
      <c r="T137" s="19" t="n">
        <f aca="false">IF(OR(S137="",G137&lt;&gt;"absolut",NOT(ISNUMBER(L137)),L137=0),"",S137/ABS(L137))</f>
        <v>-0.0493827160493828</v>
      </c>
      <c r="U137" s="19" t="n">
        <f aca="false">IF(T137="","",ABS(T137))</f>
        <v>0.0493827160493828</v>
      </c>
      <c r="V137" s="20" t="n">
        <f aca="false">IF(OR(F137="Punkt",NOT(ISNUMBER(L137))),"",IF(F137="Mindestprognose",IF(L137&gt;=I137,1,0),IF(AND(ISNUMBER(I137),ISNUMBER(J137),I137&lt;&gt;J137),IF(AND(L137&gt;=I137,L137&lt;=J137),1,0),"")))</f>
        <v>0</v>
      </c>
      <c r="W137" s="18"/>
      <c r="X137" s="0" t="str">
        <f aca="false">IF(OR(F137="qualitativ",F137="fehlend",NOT(ISNUMBER(L137))),"nicht auswertbar",IF(F137="Punkt","Punktprognose",IF(AND(ISNUMBER(I137),ISNUMBER(J137),I137&lt;&gt;J137),IF(L137&lt;I137,"unterhalb",IF(L137&gt;J137,"oberhalb","innerhalb")),"nicht auswertbar")))</f>
        <v>oberhalb</v>
      </c>
      <c r="Y137" s="25" t="str">
        <f aca="false">IF(AND(ISNUMBER(S137),OR(G137="Marge %",G137="Wachstumsrate %")),ABS(S137),"")</f>
        <v/>
      </c>
      <c r="Z137" s="0" t="str">
        <f aca="false">IFERROR(VLOOKUP(A137,Unternehmen!$A:$D,4,FALSE()),"")</f>
        <v>Versorger</v>
      </c>
    </row>
    <row r="138" customFormat="false" ht="15" hidden="false" customHeight="true" outlineLevel="0" collapsed="false">
      <c r="A138" s="15" t="s">
        <v>66</v>
      </c>
      <c r="B138" s="15" t="n">
        <v>2023</v>
      </c>
      <c r="C138" s="15" t="s">
        <v>15</v>
      </c>
      <c r="D138" s="28"/>
      <c r="E138" s="28"/>
      <c r="F138" s="28" t="s">
        <v>206</v>
      </c>
      <c r="G138" s="28"/>
      <c r="H138" s="28"/>
      <c r="I138" s="24"/>
      <c r="J138" s="24"/>
      <c r="K138" s="24"/>
      <c r="L138" s="24"/>
      <c r="M138" s="24"/>
      <c r="N138" s="24"/>
      <c r="O138" s="28"/>
      <c r="P138" s="28"/>
      <c r="Q138" s="18"/>
      <c r="R138" s="25" t="str">
        <f aca="false">IF(NOT(ISNUMBER(I138)),"",IF(F138="Mindestprognose",I138,IF(ISNUMBER(J138),(I138+J138)/2,I138)))</f>
        <v/>
      </c>
      <c r="S138" s="25" t="str">
        <f aca="false">IF(OR(R138="",NOT(ISNUMBER(L138))),"",R138-L138)</f>
        <v/>
      </c>
      <c r="T138" s="19" t="str">
        <f aca="false">IF(OR(S138="",G138&lt;&gt;"absolut",NOT(ISNUMBER(L138)),L138=0),"",S138/ABS(L138))</f>
        <v/>
      </c>
      <c r="U138" s="19" t="str">
        <f aca="false">IF(T138="","",ABS(T138))</f>
        <v/>
      </c>
      <c r="V138" s="20" t="str">
        <f aca="false">IF(OR(F138="Punkt",NOT(ISNUMBER(L138))),"",IF(F138="Mindestprognose",IF(L138&gt;=I138,1,0),IF(AND(ISNUMBER(I138),ISNUMBER(J138),I138&lt;&gt;J138),IF(AND(L138&gt;=I138,L138&lt;=J138),1,0),"")))</f>
        <v/>
      </c>
      <c r="W138" s="18"/>
      <c r="X138" s="0" t="str">
        <f aca="false">IF(OR(F138="qualitativ",F138="fehlend",NOT(ISNUMBER(L138))),"nicht auswertbar",IF(F138="Punkt","Punktprognose",IF(AND(ISNUMBER(I138),ISNUMBER(J138),I138&lt;&gt;J138),IF(L138&lt;I138,"unterhalb",IF(L138&gt;J138,"oberhalb","innerhalb")),"nicht auswertbar")))</f>
        <v>nicht auswertbar</v>
      </c>
      <c r="Y138" s="25" t="str">
        <f aca="false">IF(AND(ISNUMBER(S138),OR(G138="Marge %",G138="Wachstumsrate %")),ABS(S138),"")</f>
        <v/>
      </c>
      <c r="Z138" s="0" t="str">
        <f aca="false">IFERROR(VLOOKUP(A138,Unternehmen!$A:$D,4,FALSE()),"")</f>
        <v>Versorger</v>
      </c>
    </row>
    <row r="139" customFormat="false" ht="15" hidden="false" customHeight="true" outlineLevel="0" collapsed="false">
      <c r="A139" s="15" t="s">
        <v>66</v>
      </c>
      <c r="B139" s="15" t="n">
        <v>2023</v>
      </c>
      <c r="C139" s="15" t="s">
        <v>158</v>
      </c>
      <c r="D139" s="15" t="s">
        <v>345</v>
      </c>
      <c r="E139" s="15" t="n">
        <v>130</v>
      </c>
      <c r="F139" s="15" t="s">
        <v>183</v>
      </c>
      <c r="G139" s="15" t="s">
        <v>177</v>
      </c>
      <c r="H139" s="15" t="s">
        <v>184</v>
      </c>
      <c r="I139" s="17" t="n">
        <v>7.8</v>
      </c>
      <c r="J139" s="17" t="n">
        <v>8</v>
      </c>
      <c r="K139" s="17" t="n">
        <f aca="false">L137</f>
        <v>8.1</v>
      </c>
      <c r="L139" s="17" t="n">
        <v>9.4</v>
      </c>
      <c r="M139" s="17" t="n">
        <f aca="false">L139-K139</f>
        <v>1.3</v>
      </c>
      <c r="N139" s="23" t="s">
        <v>174</v>
      </c>
      <c r="O139" s="15" t="s">
        <v>346</v>
      </c>
      <c r="P139" s="15" t="n">
        <v>111</v>
      </c>
      <c r="Q139" s="18"/>
      <c r="R139" s="25" t="n">
        <f aca="false">IF(NOT(ISNUMBER(I139)),"",IF(F139="Mindestprognose",I139,IF(ISNUMBER(J139),(I139+J139)/2,I139)))</f>
        <v>7.9</v>
      </c>
      <c r="S139" s="25" t="n">
        <f aca="false">IF(OR(R139="",NOT(ISNUMBER(L139))),"",R139-L139)</f>
        <v>-1.5</v>
      </c>
      <c r="T139" s="19" t="n">
        <f aca="false">IF(OR(S139="",G139&lt;&gt;"absolut",NOT(ISNUMBER(L139)),L139=0),"",S139/ABS(L139))</f>
        <v>-0.159574468085106</v>
      </c>
      <c r="U139" s="19" t="n">
        <f aca="false">IF(T139="","",ABS(T139))</f>
        <v>0.159574468085106</v>
      </c>
      <c r="V139" s="20" t="n">
        <f aca="false">IF(OR(F139="Punkt",NOT(ISNUMBER(L139))),"",IF(F139="Mindestprognose",IF(L139&gt;=I139,1,0),IF(AND(ISNUMBER(I139),ISNUMBER(J139),I139&lt;&gt;J139),IF(AND(L139&gt;=I139,L139&lt;=J139),1,0),"")))</f>
        <v>0</v>
      </c>
      <c r="W139" s="18"/>
      <c r="X139" s="0" t="str">
        <f aca="false">IF(OR(F139="qualitativ",F139="fehlend",NOT(ISNUMBER(L139))),"nicht auswertbar",IF(F139="Punkt","Punktprognose",IF(AND(ISNUMBER(I139),ISNUMBER(J139),I139&lt;&gt;J139),IF(L139&lt;I139,"unterhalb",IF(L139&gt;J139,"oberhalb","innerhalb")),"nicht auswertbar")))</f>
        <v>oberhalb</v>
      </c>
      <c r="Y139" s="25" t="str">
        <f aca="false">IF(AND(ISNUMBER(S139),OR(G139="Marge %",G139="Wachstumsrate %")),ABS(S139),"")</f>
        <v/>
      </c>
      <c r="Z139" s="0" t="str">
        <f aca="false">IFERROR(VLOOKUP(A139,Unternehmen!$A:$D,4,FALSE()),"")</f>
        <v>Versorger</v>
      </c>
    </row>
    <row r="140" customFormat="false" ht="15" hidden="false" customHeight="true" outlineLevel="0" collapsed="false">
      <c r="A140" s="15" t="s">
        <v>66</v>
      </c>
      <c r="B140" s="15" t="n">
        <v>2024</v>
      </c>
      <c r="C140" s="15" t="s">
        <v>15</v>
      </c>
      <c r="D140" s="28"/>
      <c r="E140" s="28"/>
      <c r="F140" s="28" t="s">
        <v>206</v>
      </c>
      <c r="G140" s="28"/>
      <c r="H140" s="28"/>
      <c r="I140" s="24"/>
      <c r="J140" s="24"/>
      <c r="K140" s="24"/>
      <c r="L140" s="24"/>
      <c r="M140" s="24"/>
      <c r="N140" s="24"/>
      <c r="O140" s="28"/>
      <c r="P140" s="28"/>
      <c r="Q140" s="18"/>
      <c r="R140" s="25" t="str">
        <f aca="false">IF(NOT(ISNUMBER(I140)),"",IF(F140="Mindestprognose",I140,IF(ISNUMBER(J140),(I140+J140)/2,I140)))</f>
        <v/>
      </c>
      <c r="S140" s="25" t="str">
        <f aca="false">IF(OR(R140="",NOT(ISNUMBER(L140))),"",R140-L140)</f>
        <v/>
      </c>
      <c r="T140" s="19" t="str">
        <f aca="false">IF(OR(S140="",G140&lt;&gt;"absolut",NOT(ISNUMBER(L140)),L140=0),"",S140/ABS(L140))</f>
        <v/>
      </c>
      <c r="U140" s="19" t="str">
        <f aca="false">IF(T140="","",ABS(T140))</f>
        <v/>
      </c>
      <c r="V140" s="20" t="str">
        <f aca="false">IF(OR(F140="Punkt",NOT(ISNUMBER(L140))),"",IF(F140="Mindestprognose",IF(L140&gt;=I140,1,0),IF(AND(ISNUMBER(I140),ISNUMBER(J140),I140&lt;&gt;J140),IF(AND(L140&gt;=I140,L140&lt;=J140),1,0),"")))</f>
        <v/>
      </c>
      <c r="W140" s="18"/>
      <c r="X140" s="0" t="str">
        <f aca="false">IF(OR(F140="qualitativ",F140="fehlend",NOT(ISNUMBER(L140))),"nicht auswertbar",IF(F140="Punkt","Punktprognose",IF(AND(ISNUMBER(I140),ISNUMBER(J140),I140&lt;&gt;J140),IF(L140&lt;I140,"unterhalb",IF(L140&gt;J140,"oberhalb","innerhalb")),"nicht auswertbar")))</f>
        <v>nicht auswertbar</v>
      </c>
      <c r="Y140" s="25" t="str">
        <f aca="false">IF(AND(ISNUMBER(S140),OR(G140="Marge %",G140="Wachstumsrate %")),ABS(S140),"")</f>
        <v/>
      </c>
      <c r="Z140" s="0" t="str">
        <f aca="false">IFERROR(VLOOKUP(A140,Unternehmen!$A:$D,4,FALSE()),"")</f>
        <v>Versorger</v>
      </c>
    </row>
    <row r="141" customFormat="false" ht="15" hidden="false" customHeight="true" outlineLevel="0" collapsed="false">
      <c r="A141" s="15" t="s">
        <v>66</v>
      </c>
      <c r="B141" s="15" t="n">
        <v>2024</v>
      </c>
      <c r="C141" s="15" t="s">
        <v>158</v>
      </c>
      <c r="D141" s="15" t="s">
        <v>346</v>
      </c>
      <c r="E141" s="15" t="n">
        <v>128</v>
      </c>
      <c r="F141" s="15" t="s">
        <v>183</v>
      </c>
      <c r="G141" s="15" t="s">
        <v>177</v>
      </c>
      <c r="H141" s="15" t="s">
        <v>178</v>
      </c>
      <c r="I141" s="17" t="n">
        <v>8.8</v>
      </c>
      <c r="J141" s="17" t="n">
        <v>9</v>
      </c>
      <c r="K141" s="17" t="n">
        <f aca="false">L139</f>
        <v>9.4</v>
      </c>
      <c r="L141" s="17" t="n">
        <v>9</v>
      </c>
      <c r="M141" s="17" t="n">
        <f aca="false">L141-K141</f>
        <v>-0.4</v>
      </c>
      <c r="N141" s="22" t="s">
        <v>164</v>
      </c>
      <c r="O141" s="15" t="s">
        <v>347</v>
      </c>
      <c r="P141" s="15" t="n">
        <v>90</v>
      </c>
      <c r="Q141" s="18"/>
      <c r="R141" s="25" t="n">
        <f aca="false">IF(NOT(ISNUMBER(I141)),"",IF(F141="Mindestprognose",I141,IF(ISNUMBER(J141),(I141+J141)/2,I141)))</f>
        <v>8.9</v>
      </c>
      <c r="S141" s="25" t="n">
        <f aca="false">IF(OR(R141="",NOT(ISNUMBER(L141))),"",R141-L141)</f>
        <v>-0.0999999999999996</v>
      </c>
      <c r="T141" s="19" t="n">
        <f aca="false">IF(OR(S141="",G141&lt;&gt;"absolut",NOT(ISNUMBER(L141)),L141=0),"",S141/ABS(L141))</f>
        <v>-0.0111111111111111</v>
      </c>
      <c r="U141" s="19" t="n">
        <f aca="false">IF(T141="","",ABS(T141))</f>
        <v>0.0111111111111111</v>
      </c>
      <c r="V141" s="20" t="n">
        <f aca="false">IF(OR(F141="Punkt",NOT(ISNUMBER(L141))),"",IF(F141="Mindestprognose",IF(L141&gt;=I141,1,0),IF(AND(ISNUMBER(I141),ISNUMBER(J141),I141&lt;&gt;J141),IF(AND(L141&gt;=I141,L141&lt;=J141),1,0),"")))</f>
        <v>1</v>
      </c>
      <c r="W141" s="18"/>
      <c r="X141" s="0" t="str">
        <f aca="false">IF(OR(F141="qualitativ",F141="fehlend",NOT(ISNUMBER(L141))),"nicht auswertbar",IF(F141="Punkt","Punktprognose",IF(AND(ISNUMBER(I141),ISNUMBER(J141),I141&lt;&gt;J141),IF(L141&lt;I141,"unterhalb",IF(L141&gt;J141,"oberhalb","innerhalb")),"nicht auswertbar")))</f>
        <v>innerhalb</v>
      </c>
      <c r="Y141" s="25" t="str">
        <f aca="false">IF(AND(ISNUMBER(S141),OR(G141="Marge %",G141="Wachstumsrate %")),ABS(S141),"")</f>
        <v/>
      </c>
      <c r="Z141" s="0" t="str">
        <f aca="false">IFERROR(VLOOKUP(A141,Unternehmen!$A:$D,4,FALSE()),"")</f>
        <v>Versorger</v>
      </c>
    </row>
    <row r="142" customFormat="false" ht="15" hidden="false" customHeight="true" outlineLevel="0" collapsed="false">
      <c r="A142" s="15" t="s">
        <v>71</v>
      </c>
      <c r="B142" s="15" t="n">
        <v>2020</v>
      </c>
      <c r="C142" s="15" t="s">
        <v>15</v>
      </c>
      <c r="D142" s="15" t="s">
        <v>348</v>
      </c>
      <c r="E142" s="15" t="n">
        <v>74</v>
      </c>
      <c r="F142" s="15" t="s">
        <v>153</v>
      </c>
      <c r="G142" s="15" t="s">
        <v>177</v>
      </c>
      <c r="H142" s="15" t="s">
        <v>178</v>
      </c>
      <c r="I142" s="17" t="n">
        <f aca="false">IF(ISNUMBER(K142),K142*1.04,"")</f>
        <v>36825.36</v>
      </c>
      <c r="J142" s="17" t="n">
        <f aca="false">IF(ISNUMBER(K142),K142*1.07,"")</f>
        <v>37887.63</v>
      </c>
      <c r="K142" s="17" t="n">
        <v>35409</v>
      </c>
      <c r="L142" s="17" t="n">
        <v>36277</v>
      </c>
      <c r="M142" s="17" t="n">
        <f aca="false">L142-K142</f>
        <v>868</v>
      </c>
      <c r="N142" s="17" t="s">
        <v>349</v>
      </c>
      <c r="O142" s="15" t="s">
        <v>350</v>
      </c>
      <c r="P142" s="15" t="n">
        <v>3</v>
      </c>
      <c r="Q142" s="18"/>
      <c r="R142" s="25" t="n">
        <f aca="false">IF(NOT(ISNUMBER(I142)),"",IF(F142="Mindestprognose",I142,IF(ISNUMBER(J142),(I142+J142)/2,I142)))</f>
        <v>37356.495</v>
      </c>
      <c r="S142" s="25" t="n">
        <f aca="false">IF(OR(R142="",NOT(ISNUMBER(L142))),"",R142-L142)</f>
        <v>1079.495</v>
      </c>
      <c r="T142" s="19" t="n">
        <f aca="false">IF(OR(S142="",G142&lt;&gt;"absolut",NOT(ISNUMBER(L142)),L142=0),"",S142/ABS(L142))</f>
        <v>0.0297570085729251</v>
      </c>
      <c r="U142" s="19" t="n">
        <f aca="false">IF(T142="","",ABS(T142))</f>
        <v>0.0297570085729251</v>
      </c>
      <c r="V142" s="20" t="n">
        <f aca="false">IF(OR(F142="Punkt",NOT(ISNUMBER(L142))),"",IF(F142="Mindestprognose",IF(L142&gt;=I142,1,0),IF(AND(ISNUMBER(I142),ISNUMBER(J142),I142&lt;&gt;J142),IF(AND(L142&gt;=I142,L142&lt;=J142),1,0),"")))</f>
        <v>0</v>
      </c>
      <c r="W142" s="18"/>
      <c r="X142" s="0" t="str">
        <f aca="false">IF(OR(F142="qualitativ",F142="fehlend",NOT(ISNUMBER(L142))),"nicht auswertbar",IF(F142="Punkt","Punktprognose",IF(AND(ISNUMBER(I142),ISNUMBER(J142),I142&lt;&gt;J142),IF(L142&lt;I142,"unterhalb",IF(L142&gt;J142,"oberhalb","innerhalb")),"nicht auswertbar")))</f>
        <v>unterhalb</v>
      </c>
      <c r="Y142" s="25" t="str">
        <f aca="false">IF(AND(ISNUMBER(S142),OR(G142="Marge %",G142="Wachstumsrate %")),ABS(S142),"")</f>
        <v/>
      </c>
      <c r="Z142" s="0" t="str">
        <f aca="false">IFERROR(VLOOKUP(A142,Unternehmen!$A:$D,4,FALSE()),"")</f>
        <v>Pharma &amp; Healthcare</v>
      </c>
    </row>
    <row r="143" customFormat="false" ht="15" hidden="false" customHeight="true" outlineLevel="0" collapsed="false">
      <c r="A143" s="15" t="s">
        <v>71</v>
      </c>
      <c r="B143" s="15" t="n">
        <v>2020</v>
      </c>
      <c r="C143" s="15" t="s">
        <v>158</v>
      </c>
      <c r="D143" s="15" t="s">
        <v>348</v>
      </c>
      <c r="E143" s="15" t="n">
        <v>74</v>
      </c>
      <c r="F143" s="15" t="s">
        <v>153</v>
      </c>
      <c r="G143" s="15" t="s">
        <v>177</v>
      </c>
      <c r="H143" s="15" t="s">
        <v>178</v>
      </c>
      <c r="I143" s="17" t="n">
        <f aca="false">IF(ISNUMBER(K143),K143*1.01,"")</f>
        <v>1897.79</v>
      </c>
      <c r="J143" s="17" t="n">
        <f aca="false">IF(ISNUMBER(K143),K143*1.05,"")</f>
        <v>1972.95</v>
      </c>
      <c r="K143" s="17" t="n">
        <v>1879</v>
      </c>
      <c r="L143" s="17" t="n">
        <v>1796</v>
      </c>
      <c r="M143" s="17" t="n">
        <f aca="false">L143-K143</f>
        <v>-83</v>
      </c>
      <c r="N143" s="17" t="s">
        <v>351</v>
      </c>
      <c r="O143" s="15" t="s">
        <v>350</v>
      </c>
      <c r="P143" s="15" t="n">
        <v>3</v>
      </c>
      <c r="Q143" s="18"/>
      <c r="R143" s="25" t="n">
        <f aca="false">IF(NOT(ISNUMBER(I143)),"",IF(F143="Mindestprognose",I143,IF(ISNUMBER(J143),(I143+J143)/2,I143)))</f>
        <v>1935.37</v>
      </c>
      <c r="S143" s="25" t="n">
        <f aca="false">IF(OR(R143="",NOT(ISNUMBER(L143))),"",R143-L143)</f>
        <v>139.37</v>
      </c>
      <c r="T143" s="19" t="n">
        <f aca="false">IF(OR(S143="",G143&lt;&gt;"absolut",NOT(ISNUMBER(L143)),L143=0),"",S143/ABS(L143))</f>
        <v>0.0776002227171492</v>
      </c>
      <c r="U143" s="19" t="n">
        <f aca="false">IF(T143="","",ABS(T143))</f>
        <v>0.0776002227171492</v>
      </c>
      <c r="V143" s="20" t="n">
        <f aca="false">IF(OR(F143="Punkt",NOT(ISNUMBER(L143))),"",IF(F143="Mindestprognose",IF(L143&gt;=I143,1,0),IF(AND(ISNUMBER(I143),ISNUMBER(J143),I143&lt;&gt;J143),IF(AND(L143&gt;=I143,L143&lt;=J143),1,0),"")))</f>
        <v>0</v>
      </c>
      <c r="W143" s="18"/>
      <c r="X143" s="0" t="str">
        <f aca="false">IF(OR(F143="qualitativ",F143="fehlend",NOT(ISNUMBER(L143))),"nicht auswertbar",IF(F143="Punkt","Punktprognose",IF(AND(ISNUMBER(I143),ISNUMBER(J143),I143&lt;&gt;J143),IF(L143&lt;I143,"unterhalb",IF(L143&gt;J143,"oberhalb","innerhalb")),"nicht auswertbar")))</f>
        <v>unterhalb</v>
      </c>
      <c r="Y143" s="25" t="str">
        <f aca="false">IF(AND(ISNUMBER(S143),OR(G143="Marge %",G143="Wachstumsrate %")),ABS(S143),"")</f>
        <v/>
      </c>
      <c r="Z143" s="0" t="str">
        <f aca="false">IFERROR(VLOOKUP(A143,Unternehmen!$A:$D,4,FALSE()),"")</f>
        <v>Pharma &amp; Healthcare</v>
      </c>
    </row>
    <row r="144" customFormat="false" ht="15" hidden="false" customHeight="true" outlineLevel="0" collapsed="false">
      <c r="A144" s="15" t="s">
        <v>71</v>
      </c>
      <c r="B144" s="15" t="n">
        <v>2021</v>
      </c>
      <c r="C144" s="15" t="s">
        <v>15</v>
      </c>
      <c r="D144" s="15" t="s">
        <v>350</v>
      </c>
      <c r="E144" s="15" t="n">
        <v>4</v>
      </c>
      <c r="F144" s="15" t="s">
        <v>235</v>
      </c>
      <c r="G144" s="15" t="s">
        <v>177</v>
      </c>
      <c r="H144" s="15" t="s">
        <v>178</v>
      </c>
      <c r="I144" s="38" t="n">
        <f aca="false">IF(ISNUMBER(K144),K144*1.01,"")</f>
        <v>36639.77</v>
      </c>
      <c r="J144" s="38" t="n">
        <f aca="false">IF(ISNUMBER(K144),K144*1.06,"")</f>
        <v>38453.62</v>
      </c>
      <c r="K144" s="17" t="n">
        <f aca="false">L142</f>
        <v>36277</v>
      </c>
      <c r="L144" s="17" t="n">
        <v>37520</v>
      </c>
      <c r="M144" s="17" t="n">
        <f aca="false">L144-K144</f>
        <v>1243</v>
      </c>
      <c r="N144" s="22" t="s">
        <v>164</v>
      </c>
      <c r="O144" s="15" t="s">
        <v>352</v>
      </c>
      <c r="P144" s="15" t="n">
        <v>3</v>
      </c>
      <c r="Q144" s="18" t="s">
        <v>353</v>
      </c>
      <c r="R144" s="25" t="n">
        <f aca="false">IF(NOT(ISNUMBER(I144)),"",IF(F144="Mindestprognose",I144,IF(ISNUMBER(J144),(I144+J144)/2,I144)))</f>
        <v>37546.695</v>
      </c>
      <c r="S144" s="25" t="n">
        <f aca="false">IF(OR(R144="",NOT(ISNUMBER(L144))),"",R144-L144)</f>
        <v>26.6949999999997</v>
      </c>
      <c r="T144" s="19" t="n">
        <f aca="false">IF(OR(S144="",G144&lt;&gt;"absolut",NOT(ISNUMBER(L144)),L144=0),"",S144/ABS(L144))</f>
        <v>0.00071148720682302</v>
      </c>
      <c r="U144" s="19" t="n">
        <f aca="false">IF(T144="","",ABS(T144))</f>
        <v>0.00071148720682302</v>
      </c>
      <c r="V144" s="20" t="n">
        <f aca="false">IF(OR(F144="Punkt",NOT(ISNUMBER(L144))),"",IF(F144="Mindestprognose",IF(L144&gt;=I144,1,0),IF(AND(ISNUMBER(I144),ISNUMBER(J144),I144&lt;&gt;J144),IF(AND(L144&gt;=I144,L144&lt;=J144),1,0),"")))</f>
        <v>1</v>
      </c>
      <c r="W144" s="18"/>
      <c r="X144" s="0" t="str">
        <f aca="false">IF(OR(F144="qualitativ",F144="fehlend",NOT(ISNUMBER(L144))),"nicht auswertbar",IF(F144="Punkt","Punktprognose",IF(AND(ISNUMBER(I144),ISNUMBER(J144),I144&lt;&gt;J144),IF(L144&lt;I144,"unterhalb",IF(L144&gt;J144,"oberhalb","innerhalb")),"nicht auswertbar")))</f>
        <v>innerhalb</v>
      </c>
      <c r="Y144" s="25" t="str">
        <f aca="false">IF(AND(ISNUMBER(S144),OR(G144="Marge %",G144="Wachstumsrate %")),ABS(S144),"")</f>
        <v/>
      </c>
      <c r="Z144" s="0" t="str">
        <f aca="false">IFERROR(VLOOKUP(A144,Unternehmen!$A:$D,4,FALSE()),"")</f>
        <v>Pharma &amp; Healthcare</v>
      </c>
    </row>
    <row r="145" customFormat="false" ht="15" hidden="false" customHeight="true" outlineLevel="0" collapsed="false">
      <c r="A145" s="15" t="s">
        <v>71</v>
      </c>
      <c r="B145" s="15" t="n">
        <v>2021</v>
      </c>
      <c r="C145" s="15" t="s">
        <v>158</v>
      </c>
      <c r="D145" s="15" t="s">
        <v>350</v>
      </c>
      <c r="E145" s="15" t="n">
        <v>4</v>
      </c>
      <c r="F145" s="15" t="s">
        <v>187</v>
      </c>
      <c r="G145" s="15" t="s">
        <v>177</v>
      </c>
      <c r="H145" s="15" t="s">
        <v>178</v>
      </c>
      <c r="I145" s="24"/>
      <c r="J145" s="24"/>
      <c r="K145" s="17" t="n">
        <f aca="false">L143</f>
        <v>1796</v>
      </c>
      <c r="L145" s="17" t="n">
        <v>1867</v>
      </c>
      <c r="M145" s="17" t="n">
        <f aca="false">L145-K145</f>
        <v>71</v>
      </c>
      <c r="N145" s="22" t="s">
        <v>164</v>
      </c>
      <c r="O145" s="15" t="s">
        <v>352</v>
      </c>
      <c r="P145" s="15" t="n">
        <v>3</v>
      </c>
      <c r="Q145" s="18"/>
      <c r="R145" s="25" t="str">
        <f aca="false">IF(NOT(ISNUMBER(I145)),"",IF(F145="Mindestprognose",I145,IF(ISNUMBER(J145),(I145+J145)/2,I145)))</f>
        <v/>
      </c>
      <c r="S145" s="25" t="str">
        <f aca="false">IF(OR(R145="",NOT(ISNUMBER(L145))),"",R145-L145)</f>
        <v/>
      </c>
      <c r="T145" s="19" t="str">
        <f aca="false">IF(OR(S145="",G145&lt;&gt;"absolut",NOT(ISNUMBER(L145)),L145=0),"",S145/ABS(L145))</f>
        <v/>
      </c>
      <c r="U145" s="19" t="str">
        <f aca="false">IF(T145="","",ABS(T145))</f>
        <v/>
      </c>
      <c r="V145" s="20" t="str">
        <f aca="false">IF(OR(F145="Punkt",NOT(ISNUMBER(L145))),"",IF(F145="Mindestprognose",IF(L145&gt;=I145,1,0),IF(AND(ISNUMBER(I145),ISNUMBER(J145),I145&lt;&gt;J145),IF(AND(L145&gt;=I145,L145&lt;=J145),1,0),"")))</f>
        <v/>
      </c>
      <c r="W145" s="18" t="s">
        <v>354</v>
      </c>
      <c r="X145" s="0" t="str">
        <f aca="false">IF(OR(F145="qualitativ",F145="fehlend",NOT(ISNUMBER(L145))),"nicht auswertbar",IF(F145="Punkt","Punktprognose",IF(AND(ISNUMBER(I145),ISNUMBER(J145),I145&lt;&gt;J145),IF(L145&lt;I145,"unterhalb",IF(L145&gt;J145,"oberhalb","innerhalb")),"nicht auswertbar")))</f>
        <v>nicht auswertbar</v>
      </c>
      <c r="Y145" s="25" t="str">
        <f aca="false">IF(AND(ISNUMBER(S145),OR(G145="Marge %",G145="Wachstumsrate %")),ABS(S145),"")</f>
        <v/>
      </c>
      <c r="Z145" s="0" t="str">
        <f aca="false">IFERROR(VLOOKUP(A145,Unternehmen!$A:$D,4,FALSE()),"")</f>
        <v>Pharma &amp; Healthcare</v>
      </c>
    </row>
    <row r="146" customFormat="false" ht="15" hidden="false" customHeight="true" outlineLevel="0" collapsed="false">
      <c r="A146" s="15" t="s">
        <v>71</v>
      </c>
      <c r="B146" s="15" t="n">
        <v>2022</v>
      </c>
      <c r="C146" s="15" t="s">
        <v>15</v>
      </c>
      <c r="D146" s="15" t="s">
        <v>352</v>
      </c>
      <c r="E146" s="15" t="n">
        <v>4</v>
      </c>
      <c r="F146" s="15" t="s">
        <v>235</v>
      </c>
      <c r="G146" s="15" t="s">
        <v>177</v>
      </c>
      <c r="H146" s="15" t="s">
        <v>178</v>
      </c>
      <c r="I146" s="17" t="n">
        <f aca="false">IF(ISNUMBER(K146),K146*1.04,"")</f>
        <v>39020.8</v>
      </c>
      <c r="J146" s="17" t="n">
        <f aca="false">IF(ISNUMBER(K146),K146*1.06,"")</f>
        <v>39771.2</v>
      </c>
      <c r="K146" s="17" t="n">
        <f aca="false">L144</f>
        <v>37520</v>
      </c>
      <c r="L146" s="17" t="n">
        <v>40840</v>
      </c>
      <c r="M146" s="17" t="n">
        <f aca="false">L146-K146</f>
        <v>3320</v>
      </c>
      <c r="N146" s="22" t="s">
        <v>164</v>
      </c>
      <c r="O146" s="15" t="s">
        <v>355</v>
      </c>
      <c r="P146" s="15" t="n">
        <v>3</v>
      </c>
      <c r="Q146" s="18" t="s">
        <v>353</v>
      </c>
      <c r="R146" s="25" t="n">
        <f aca="false">IF(NOT(ISNUMBER(I146)),"",IF(F146="Mindestprognose",I146,IF(ISNUMBER(J146),(I146+J146)/2,I146)))</f>
        <v>39396</v>
      </c>
      <c r="S146" s="25" t="n">
        <f aca="false">IF(OR(R146="",NOT(ISNUMBER(L146))),"",R146-L146)</f>
        <v>-1444</v>
      </c>
      <c r="T146" s="19" t="n">
        <f aca="false">IF(OR(S146="",G146&lt;&gt;"absolut",NOT(ISNUMBER(L146)),L146=0),"",S146/ABS(L146))</f>
        <v>-0.0353574926542605</v>
      </c>
      <c r="U146" s="19" t="n">
        <f aca="false">IF(T146="","",ABS(T146))</f>
        <v>0.0353574926542605</v>
      </c>
      <c r="V146" s="20" t="n">
        <f aca="false">IF(OR(F146="Punkt",NOT(ISNUMBER(L146))),"",IF(F146="Mindestprognose",IF(L146&gt;=I146,1,0),IF(AND(ISNUMBER(I146),ISNUMBER(J146),I146&lt;&gt;J146),IF(AND(L146&gt;=I146,L146&lt;=J146),1,0),"")))</f>
        <v>0</v>
      </c>
      <c r="W146" s="18"/>
      <c r="X146" s="0" t="str">
        <f aca="false">IF(OR(F146="qualitativ",F146="fehlend",NOT(ISNUMBER(L146))),"nicht auswertbar",IF(F146="Punkt","Punktprognose",IF(AND(ISNUMBER(I146),ISNUMBER(J146),I146&lt;&gt;J146),IF(L146&lt;I146,"unterhalb",IF(L146&gt;J146,"oberhalb","innerhalb")),"nicht auswertbar")))</f>
        <v>oberhalb</v>
      </c>
      <c r="Y146" s="25" t="str">
        <f aca="false">IF(AND(ISNUMBER(S146),OR(G146="Marge %",G146="Wachstumsrate %")),ABS(S146),"")</f>
        <v/>
      </c>
      <c r="Z146" s="0" t="str">
        <f aca="false">IFERROR(VLOOKUP(A146,Unternehmen!$A:$D,4,FALSE()),"")</f>
        <v>Pharma &amp; Healthcare</v>
      </c>
    </row>
    <row r="147" customFormat="false" ht="15" hidden="false" customHeight="true" outlineLevel="0" collapsed="false">
      <c r="A147" s="15" t="s">
        <v>71</v>
      </c>
      <c r="B147" s="15" t="n">
        <v>2022</v>
      </c>
      <c r="C147" s="15" t="s">
        <v>158</v>
      </c>
      <c r="D147" s="15" t="s">
        <v>352</v>
      </c>
      <c r="E147" s="15" t="n">
        <v>4</v>
      </c>
      <c r="F147" s="15" t="s">
        <v>235</v>
      </c>
      <c r="G147" s="15" t="s">
        <v>177</v>
      </c>
      <c r="H147" s="15" t="s">
        <v>178</v>
      </c>
      <c r="I147" s="17" t="n">
        <f aca="false">IF(ISNUMBER(K147),K147*1.01,"")</f>
        <v>1885.67</v>
      </c>
      <c r="J147" s="17" t="n">
        <f aca="false">IF(ISNUMBER(K147),K147*1.03,"")</f>
        <v>1923.01</v>
      </c>
      <c r="K147" s="17" t="n">
        <f aca="false">L145</f>
        <v>1867</v>
      </c>
      <c r="L147" s="17" t="n">
        <v>1729</v>
      </c>
      <c r="M147" s="17" t="n">
        <f aca="false">L147-K147</f>
        <v>-138</v>
      </c>
      <c r="N147" s="17" t="s">
        <v>351</v>
      </c>
      <c r="O147" s="15" t="s">
        <v>355</v>
      </c>
      <c r="P147" s="15" t="n">
        <v>3</v>
      </c>
      <c r="Q147" s="18" t="s">
        <v>353</v>
      </c>
      <c r="R147" s="25" t="n">
        <f aca="false">IF(NOT(ISNUMBER(I147)),"",IF(F147="Mindestprognose",I147,IF(ISNUMBER(J147),(I147+J147)/2,I147)))</f>
        <v>1904.34</v>
      </c>
      <c r="S147" s="25" t="n">
        <f aca="false">IF(OR(R147="",NOT(ISNUMBER(L147))),"",R147-L147)</f>
        <v>175.34</v>
      </c>
      <c r="T147" s="19" t="n">
        <f aca="false">IF(OR(S147="",G147&lt;&gt;"absolut",NOT(ISNUMBER(L147)),L147=0),"",S147/ABS(L147))</f>
        <v>0.101411220358589</v>
      </c>
      <c r="U147" s="19" t="n">
        <f aca="false">IF(T147="","",ABS(T147))</f>
        <v>0.101411220358589</v>
      </c>
      <c r="V147" s="20" t="n">
        <f aca="false">IF(OR(F147="Punkt",NOT(ISNUMBER(L147))),"",IF(F147="Mindestprognose",IF(L147&gt;=I147,1,0),IF(AND(ISNUMBER(I147),ISNUMBER(J147),I147&lt;&gt;J147),IF(AND(L147&gt;=I147,L147&lt;=J147),1,0),"")))</f>
        <v>0</v>
      </c>
      <c r="W147" s="18"/>
      <c r="X147" s="0" t="str">
        <f aca="false">IF(OR(F147="qualitativ",F147="fehlend",NOT(ISNUMBER(L147))),"nicht auswertbar",IF(F147="Punkt","Punktprognose",IF(AND(ISNUMBER(I147),ISNUMBER(J147),I147&lt;&gt;J147),IF(L147&lt;I147,"unterhalb",IF(L147&gt;J147,"oberhalb","innerhalb")),"nicht auswertbar")))</f>
        <v>unterhalb</v>
      </c>
      <c r="Y147" s="25" t="str">
        <f aca="false">IF(AND(ISNUMBER(S147),OR(G147="Marge %",G147="Wachstumsrate %")),ABS(S147),"")</f>
        <v/>
      </c>
      <c r="Z147" s="0" t="str">
        <f aca="false">IFERROR(VLOOKUP(A147,Unternehmen!$A:$D,4,FALSE()),"")</f>
        <v>Pharma &amp; Healthcare</v>
      </c>
    </row>
    <row r="148" customFormat="false" ht="15" hidden="false" customHeight="true" outlineLevel="0" collapsed="false">
      <c r="A148" s="15" t="s">
        <v>71</v>
      </c>
      <c r="B148" s="15" t="n">
        <v>2023</v>
      </c>
      <c r="C148" s="15" t="s">
        <v>15</v>
      </c>
      <c r="D148" s="15" t="s">
        <v>355</v>
      </c>
      <c r="E148" s="15" t="n">
        <v>82</v>
      </c>
      <c r="F148" s="15" t="s">
        <v>235</v>
      </c>
      <c r="G148" s="15" t="s">
        <v>177</v>
      </c>
      <c r="H148" s="15" t="s">
        <v>178</v>
      </c>
      <c r="I148" s="17" t="n">
        <f aca="false">IF(ISNUMBER(K148),K148*1.01,"")</f>
        <v>21747.32</v>
      </c>
      <c r="J148" s="17" t="n">
        <f aca="false">IF(ISNUMBER(K148),K148*1.06,"")</f>
        <v>22823.92</v>
      </c>
      <c r="K148" s="17" t="n">
        <v>21532</v>
      </c>
      <c r="L148" s="17" t="n">
        <v>22299</v>
      </c>
      <c r="M148" s="17" t="n">
        <f aca="false">L148-K148</f>
        <v>767</v>
      </c>
      <c r="N148" s="22" t="s">
        <v>164</v>
      </c>
      <c r="O148" s="15" t="s">
        <v>356</v>
      </c>
      <c r="P148" s="15" t="n">
        <v>3</v>
      </c>
      <c r="Q148" s="18" t="s">
        <v>357</v>
      </c>
      <c r="R148" s="25" t="n">
        <f aca="false">IF(NOT(ISNUMBER(I148)),"",IF(F148="Mindestprognose",I148,IF(ISNUMBER(J148),(I148+J148)/2,I148)))</f>
        <v>22285.62</v>
      </c>
      <c r="S148" s="25" t="n">
        <f aca="false">IF(OR(R148="",NOT(ISNUMBER(L148))),"",R148-L148)</f>
        <v>-13.3799999999974</v>
      </c>
      <c r="T148" s="19" t="n">
        <f aca="false">IF(OR(S148="",G148&lt;&gt;"absolut",NOT(ISNUMBER(L148)),L148=0),"",S148/ABS(L148))</f>
        <v>-0.000600026907036073</v>
      </c>
      <c r="U148" s="19" t="n">
        <f aca="false">IF(T148="","",ABS(T148))</f>
        <v>0.000600026907036073</v>
      </c>
      <c r="V148" s="20" t="n">
        <f aca="false">IF(OR(F148="Punkt",NOT(ISNUMBER(L148))),"",IF(F148="Mindestprognose",IF(L148&gt;=I148,1,0),IF(AND(ISNUMBER(I148),ISNUMBER(J148),I148&lt;&gt;J148),IF(AND(L148&gt;=I148,L148&lt;=J148),1,0),"")))</f>
        <v>1</v>
      </c>
      <c r="W148" s="18"/>
      <c r="X148" s="0" t="str">
        <f aca="false">IF(OR(F148="qualitativ",F148="fehlend",NOT(ISNUMBER(L148))),"nicht auswertbar",IF(F148="Punkt","Punktprognose",IF(AND(ISNUMBER(I148),ISNUMBER(J148),I148&lt;&gt;J148),IF(L148&lt;I148,"unterhalb",IF(L148&gt;J148,"oberhalb","innerhalb")),"nicht auswertbar")))</f>
        <v>innerhalb</v>
      </c>
      <c r="Y148" s="25" t="str">
        <f aca="false">IF(AND(ISNUMBER(S148),OR(G148="Marge %",G148="Wachstumsrate %")),ABS(S148),"")</f>
        <v/>
      </c>
      <c r="Z148" s="0" t="str">
        <f aca="false">IFERROR(VLOOKUP(A148,Unternehmen!$A:$D,4,FALSE()),"")</f>
        <v>Pharma &amp; Healthcare</v>
      </c>
    </row>
    <row r="149" customFormat="false" ht="15" hidden="false" customHeight="true" outlineLevel="0" collapsed="false">
      <c r="A149" s="15" t="s">
        <v>71</v>
      </c>
      <c r="B149" s="15" t="n">
        <v>2023</v>
      </c>
      <c r="C149" s="15" t="s">
        <v>158</v>
      </c>
      <c r="D149" s="15" t="s">
        <v>355</v>
      </c>
      <c r="E149" s="15" t="n">
        <v>82</v>
      </c>
      <c r="F149" s="15" t="s">
        <v>235</v>
      </c>
      <c r="G149" s="15" t="s">
        <v>177</v>
      </c>
      <c r="H149" s="15" t="s">
        <v>178</v>
      </c>
      <c r="I149" s="17" t="n">
        <f aca="false">IF(ISNUMBER(K149),K149*0.91,"")</f>
        <v>1992.9</v>
      </c>
      <c r="J149" s="17" t="n">
        <f aca="false">IF(ISNUMBER(K149),K149*1,"")</f>
        <v>2190</v>
      </c>
      <c r="K149" s="17" t="n">
        <v>2190</v>
      </c>
      <c r="L149" s="17" t="n">
        <v>2262</v>
      </c>
      <c r="M149" s="17" t="n">
        <f aca="false">L149-K149</f>
        <v>72</v>
      </c>
      <c r="N149" s="23" t="s">
        <v>174</v>
      </c>
      <c r="O149" s="15" t="s">
        <v>356</v>
      </c>
      <c r="P149" s="15" t="n">
        <v>3</v>
      </c>
      <c r="Q149" s="18" t="s">
        <v>357</v>
      </c>
      <c r="R149" s="25" t="n">
        <f aca="false">IF(NOT(ISNUMBER(I149)),"",IF(F149="Mindestprognose",I149,IF(ISNUMBER(J149),(I149+J149)/2,I149)))</f>
        <v>2091.45</v>
      </c>
      <c r="S149" s="25" t="n">
        <f aca="false">IF(OR(R149="",NOT(ISNUMBER(L149))),"",R149-L149)</f>
        <v>-170.55</v>
      </c>
      <c r="T149" s="19" t="n">
        <f aca="false">IF(OR(S149="",G149&lt;&gt;"absolut",NOT(ISNUMBER(L149)),L149=0),"",S149/ABS(L149))</f>
        <v>-0.075397877984085</v>
      </c>
      <c r="U149" s="19" t="n">
        <f aca="false">IF(T149="","",ABS(T149))</f>
        <v>0.075397877984085</v>
      </c>
      <c r="V149" s="20" t="n">
        <f aca="false">IF(OR(F149="Punkt",NOT(ISNUMBER(L149))),"",IF(F149="Mindestprognose",IF(L149&gt;=I149,1,0),IF(AND(ISNUMBER(I149),ISNUMBER(J149),I149&lt;&gt;J149),IF(AND(L149&gt;=I149,L149&lt;=J149),1,0),"")))</f>
        <v>0</v>
      </c>
      <c r="W149" s="18"/>
      <c r="X149" s="0" t="str">
        <f aca="false">IF(OR(F149="qualitativ",F149="fehlend",NOT(ISNUMBER(L149))),"nicht auswertbar",IF(F149="Punkt","Punktprognose",IF(AND(ISNUMBER(I149),ISNUMBER(J149),I149&lt;&gt;J149),IF(L149&lt;I149,"unterhalb",IF(L149&gt;J149,"oberhalb","innerhalb")),"nicht auswertbar")))</f>
        <v>oberhalb</v>
      </c>
      <c r="Y149" s="25" t="str">
        <f aca="false">IF(AND(ISNUMBER(S149),OR(G149="Marge %",G149="Wachstumsrate %")),ABS(S149),"")</f>
        <v/>
      </c>
      <c r="Z149" s="0" t="str">
        <f aca="false">IFERROR(VLOOKUP(A149,Unternehmen!$A:$D,4,FALSE()),"")</f>
        <v>Pharma &amp; Healthcare</v>
      </c>
    </row>
    <row r="150" customFormat="false" ht="15" hidden="false" customHeight="true" outlineLevel="0" collapsed="false">
      <c r="A150" s="15" t="s">
        <v>71</v>
      </c>
      <c r="B150" s="15" t="n">
        <v>2024</v>
      </c>
      <c r="C150" s="15" t="s">
        <v>15</v>
      </c>
      <c r="D150" s="15" t="s">
        <v>356</v>
      </c>
      <c r="E150" s="15" t="n">
        <v>84</v>
      </c>
      <c r="F150" s="15" t="s">
        <v>153</v>
      </c>
      <c r="G150" s="15" t="s">
        <v>177</v>
      </c>
      <c r="H150" s="15" t="s">
        <v>178</v>
      </c>
      <c r="I150" s="17" t="n">
        <f aca="false">IF(ISNUMBER(K150),K150*1.03,"")</f>
        <v>20916.21</v>
      </c>
      <c r="J150" s="17" t="n">
        <f aca="false">IF(ISNUMBER(K150),K150*1.06,"")</f>
        <v>21525.42</v>
      </c>
      <c r="K150" s="17" t="n">
        <v>20307</v>
      </c>
      <c r="L150" s="17" t="n">
        <v>21526</v>
      </c>
      <c r="M150" s="17" t="n">
        <f aca="false">L150-K150</f>
        <v>1219</v>
      </c>
      <c r="N150" s="22" t="s">
        <v>164</v>
      </c>
      <c r="O150" s="15" t="s">
        <v>358</v>
      </c>
      <c r="P150" s="15" t="n">
        <v>3</v>
      </c>
      <c r="Q150" s="18" t="s">
        <v>359</v>
      </c>
      <c r="R150" s="25" t="n">
        <f aca="false">IF(NOT(ISNUMBER(I150)),"",IF(F150="Mindestprognose",I150,IF(ISNUMBER(J150),(I150+J150)/2,I150)))</f>
        <v>21220.815</v>
      </c>
      <c r="S150" s="25" t="n">
        <f aca="false">IF(OR(R150="",NOT(ISNUMBER(L150))),"",R150-L150)</f>
        <v>-305.184999999998</v>
      </c>
      <c r="T150" s="19" t="n">
        <f aca="false">IF(OR(S150="",G150&lt;&gt;"absolut",NOT(ISNUMBER(L150)),L150=0),"",S150/ABS(L150))</f>
        <v>-0.0141775062714855</v>
      </c>
      <c r="U150" s="19" t="n">
        <f aca="false">IF(T150="","",ABS(T150))</f>
        <v>0.0141775062714855</v>
      </c>
      <c r="V150" s="20" t="n">
        <f aca="false">IF(OR(F150="Punkt",NOT(ISNUMBER(L150))),"",IF(F150="Mindestprognose",IF(L150&gt;=I150,1,0),IF(AND(ISNUMBER(I150),ISNUMBER(J150),I150&lt;&gt;J150),IF(AND(L150&gt;=I150,L150&lt;=J150),1,0),"")))</f>
        <v>0</v>
      </c>
      <c r="W150" s="18"/>
      <c r="X150" s="0" t="str">
        <f aca="false">IF(OR(F150="qualitativ",F150="fehlend",NOT(ISNUMBER(L150))),"nicht auswertbar",IF(F150="Punkt","Punktprognose",IF(AND(ISNUMBER(I150),ISNUMBER(J150),I150&lt;&gt;J150),IF(L150&lt;I150,"unterhalb",IF(L150&gt;J150,"oberhalb","innerhalb")),"nicht auswertbar")))</f>
        <v>oberhalb</v>
      </c>
      <c r="Y150" s="25" t="str">
        <f aca="false">IF(AND(ISNUMBER(S150),OR(G150="Marge %",G150="Wachstumsrate %")),ABS(S150),"")</f>
        <v/>
      </c>
      <c r="Z150" s="0" t="str">
        <f aca="false">IFERROR(VLOOKUP(A150,Unternehmen!$A:$D,4,FALSE()),"")</f>
        <v>Pharma &amp; Healthcare</v>
      </c>
    </row>
    <row r="151" customFormat="false" ht="15" hidden="false" customHeight="true" outlineLevel="0" collapsed="false">
      <c r="A151" s="15" t="s">
        <v>71</v>
      </c>
      <c r="B151" s="15" t="n">
        <v>2024</v>
      </c>
      <c r="C151" s="15" t="s">
        <v>158</v>
      </c>
      <c r="D151" s="15" t="s">
        <v>356</v>
      </c>
      <c r="E151" s="15" t="n">
        <v>84</v>
      </c>
      <c r="F151" s="15" t="s">
        <v>153</v>
      </c>
      <c r="G151" s="15" t="s">
        <v>177</v>
      </c>
      <c r="H151" s="15" t="s">
        <v>178</v>
      </c>
      <c r="I151" s="17" t="n">
        <f aca="false">IF(ISNUMBER(K151),K151*1.04,"")</f>
        <v>2356.64</v>
      </c>
      <c r="J151" s="17" t="n">
        <f aca="false">IF(ISNUMBER(K151),K151*1.08,"")</f>
        <v>2447.28</v>
      </c>
      <c r="K151" s="17" t="n">
        <v>2266</v>
      </c>
      <c r="L151" s="17" t="n">
        <v>2489</v>
      </c>
      <c r="M151" s="17" t="n">
        <f aca="false">L151-K151</f>
        <v>223</v>
      </c>
      <c r="N151" s="23" t="s">
        <v>174</v>
      </c>
      <c r="O151" s="15" t="s">
        <v>358</v>
      </c>
      <c r="P151" s="15" t="n">
        <v>3</v>
      </c>
      <c r="Q151" s="18" t="s">
        <v>359</v>
      </c>
      <c r="R151" s="25" t="n">
        <f aca="false">IF(NOT(ISNUMBER(I151)),"",IF(F151="Mindestprognose",I151,IF(ISNUMBER(J151),(I151+J151)/2,I151)))</f>
        <v>2401.96</v>
      </c>
      <c r="S151" s="25" t="n">
        <f aca="false">IF(OR(R151="",NOT(ISNUMBER(L151))),"",R151-L151)</f>
        <v>-87.04</v>
      </c>
      <c r="T151" s="19" t="n">
        <f aca="false">IF(OR(S151="",G151&lt;&gt;"absolut",NOT(ISNUMBER(L151)),L151=0),"",S151/ABS(L151))</f>
        <v>-0.0349698674166332</v>
      </c>
      <c r="U151" s="19" t="n">
        <f aca="false">IF(T151="","",ABS(T151))</f>
        <v>0.0349698674166332</v>
      </c>
      <c r="V151" s="20" t="n">
        <f aca="false">IF(OR(F151="Punkt",NOT(ISNUMBER(L151))),"",IF(F151="Mindestprognose",IF(L151&gt;=I151,1,0),IF(AND(ISNUMBER(I151),ISNUMBER(J151),I151&lt;&gt;J151),IF(AND(L151&gt;=I151,L151&lt;=J151),1,0),"")))</f>
        <v>0</v>
      </c>
      <c r="W151" s="18"/>
      <c r="X151" s="0" t="str">
        <f aca="false">IF(OR(F151="qualitativ",F151="fehlend",NOT(ISNUMBER(L151))),"nicht auswertbar",IF(F151="Punkt","Punktprognose",IF(AND(ISNUMBER(I151),ISNUMBER(J151),I151&lt;&gt;J151),IF(L151&lt;I151,"unterhalb",IF(L151&gt;J151,"oberhalb","innerhalb")),"nicht auswertbar")))</f>
        <v>oberhalb</v>
      </c>
      <c r="Y151" s="25" t="str">
        <f aca="false">IF(AND(ISNUMBER(S151),OR(G151="Marge %",G151="Wachstumsrate %")),ABS(S151),"")</f>
        <v/>
      </c>
      <c r="Z151" s="0" t="str">
        <f aca="false">IFERROR(VLOOKUP(A151,Unternehmen!$A:$D,4,FALSE()),"")</f>
        <v>Pharma &amp; Healthcare</v>
      </c>
    </row>
    <row r="152" customFormat="false" ht="15" hidden="false" customHeight="true" outlineLevel="0" collapsed="false">
      <c r="A152" s="15" t="s">
        <v>75</v>
      </c>
      <c r="B152" s="15" t="n">
        <v>2020</v>
      </c>
      <c r="C152" s="15" t="s">
        <v>15</v>
      </c>
      <c r="D152" s="15" t="s">
        <v>360</v>
      </c>
      <c r="E152" s="15" t="n">
        <v>66</v>
      </c>
      <c r="F152" s="15" t="s">
        <v>153</v>
      </c>
      <c r="G152" s="15" t="s">
        <v>177</v>
      </c>
      <c r="H152" s="15" t="s">
        <v>178</v>
      </c>
      <c r="I152" s="17" t="n">
        <f aca="false">IF(ISNUMBER(K152),K152*1.05,"")</f>
        <v>18350.85</v>
      </c>
      <c r="J152" s="17" t="n">
        <f aca="false">IF(ISNUMBER(K152),K152*1.09,"")</f>
        <v>19049.93</v>
      </c>
      <c r="K152" s="17" t="n">
        <v>17477</v>
      </c>
      <c r="L152" s="17" t="n">
        <v>17859</v>
      </c>
      <c r="M152" s="17" t="n">
        <f aca="false">L152-K152</f>
        <v>382</v>
      </c>
      <c r="N152" s="17" t="s">
        <v>361</v>
      </c>
      <c r="O152" s="15" t="s">
        <v>362</v>
      </c>
      <c r="P152" s="15" t="n">
        <v>63</v>
      </c>
      <c r="Q152" s="18"/>
      <c r="R152" s="25" t="n">
        <f aca="false">IF(NOT(ISNUMBER(I152)),"",IF(F152="Mindestprognose",I152,IF(ISNUMBER(J152),(I152+J152)/2,I152)))</f>
        <v>18700.39</v>
      </c>
      <c r="S152" s="25" t="n">
        <f aca="false">IF(OR(R152="",NOT(ISNUMBER(L152))),"",R152-L152)</f>
        <v>841.389999999999</v>
      </c>
      <c r="T152" s="19" t="n">
        <f aca="false">IF(OR(S152="",G152&lt;&gt;"absolut",NOT(ISNUMBER(L152)),L152=0),"",S152/ABS(L152))</f>
        <v>0.0471129402542135</v>
      </c>
      <c r="U152" s="19" t="n">
        <f aca="false">IF(T152="","",ABS(T152))</f>
        <v>0.0471129402542135</v>
      </c>
      <c r="V152" s="20" t="n">
        <f aca="false">IF(OR(F152="Punkt",NOT(ISNUMBER(L152))),"",IF(F152="Mindestprognose",IF(L152&gt;=I152,1,0),IF(AND(ISNUMBER(I152),ISNUMBER(J152),I152&lt;&gt;J152),IF(AND(L152&gt;=I152,L152&lt;=J152),1,0),"")))</f>
        <v>0</v>
      </c>
      <c r="W152" s="18"/>
      <c r="X152" s="0" t="str">
        <f aca="false">IF(OR(F152="qualitativ",F152="fehlend",NOT(ISNUMBER(L152))),"nicht auswertbar",IF(F152="Punkt","Punktprognose",IF(AND(ISNUMBER(I152),ISNUMBER(J152),I152&lt;&gt;J152),IF(L152&lt;I152,"unterhalb",IF(L152&gt;J152,"oberhalb","innerhalb")),"nicht auswertbar")))</f>
        <v>unterhalb</v>
      </c>
      <c r="Y152" s="25" t="str">
        <f aca="false">IF(AND(ISNUMBER(S152),OR(G152="Marge %",G152="Wachstumsrate %")),ABS(S152),"")</f>
        <v/>
      </c>
      <c r="Z152" s="0" t="str">
        <f aca="false">IFERROR(VLOOKUP(A152,Unternehmen!$A:$D,4,FALSE()),"")</f>
        <v>Pharma &amp; Healthcare</v>
      </c>
    </row>
    <row r="153" customFormat="false" ht="15" hidden="false" customHeight="true" outlineLevel="0" collapsed="false">
      <c r="A153" s="15" t="s">
        <v>75</v>
      </c>
      <c r="B153" s="15" t="n">
        <v>2020</v>
      </c>
      <c r="C153" s="15" t="s">
        <v>158</v>
      </c>
      <c r="D153" s="15" t="s">
        <v>360</v>
      </c>
      <c r="E153" s="15" t="n">
        <v>66</v>
      </c>
      <c r="F153" s="15" t="s">
        <v>153</v>
      </c>
      <c r="G153" s="15" t="s">
        <v>177</v>
      </c>
      <c r="H153" s="15" t="s">
        <v>178</v>
      </c>
      <c r="I153" s="17" t="n">
        <f aca="false">IF(ISNUMBER(K153),K153*1.05,"")</f>
        <v>2473.8</v>
      </c>
      <c r="J153" s="17" t="n">
        <f aca="false">IF(ISNUMBER(K153),K153*1.09,"")</f>
        <v>2568.04</v>
      </c>
      <c r="K153" s="17" t="n">
        <v>2356</v>
      </c>
      <c r="L153" s="17" t="n">
        <v>2499</v>
      </c>
      <c r="M153" s="17" t="n">
        <f aca="false">L153-K153</f>
        <v>143</v>
      </c>
      <c r="N153" s="22" t="s">
        <v>164</v>
      </c>
      <c r="O153" s="15" t="s">
        <v>362</v>
      </c>
      <c r="P153" s="15" t="n">
        <v>63</v>
      </c>
      <c r="Q153" s="18"/>
      <c r="R153" s="25" t="n">
        <f aca="false">IF(NOT(ISNUMBER(I153)),"",IF(F153="Mindestprognose",I153,IF(ISNUMBER(J153),(I153+J153)/2,I153)))</f>
        <v>2520.92</v>
      </c>
      <c r="S153" s="25" t="n">
        <f aca="false">IF(OR(R153="",NOT(ISNUMBER(L153))),"",R153-L153)</f>
        <v>21.9200000000001</v>
      </c>
      <c r="T153" s="19" t="n">
        <f aca="false">IF(OR(S153="",G153&lt;&gt;"absolut",NOT(ISNUMBER(L153)),L153=0),"",S153/ABS(L153))</f>
        <v>0.00877150860344141</v>
      </c>
      <c r="U153" s="19" t="n">
        <f aca="false">IF(T153="","",ABS(T153))</f>
        <v>0.00877150860344141</v>
      </c>
      <c r="V153" s="20" t="n">
        <f aca="false">IF(OR(F153="Punkt",NOT(ISNUMBER(L153))),"",IF(F153="Mindestprognose",IF(L153&gt;=I153,1,0),IF(AND(ISNUMBER(I153),ISNUMBER(J153),I153&lt;&gt;J153),IF(AND(L153&gt;=I153,L153&lt;=J153),1,0),"")))</f>
        <v>1</v>
      </c>
      <c r="W153" s="18"/>
      <c r="X153" s="0" t="str">
        <f aca="false">IF(OR(F153="qualitativ",F153="fehlend",NOT(ISNUMBER(L153))),"nicht auswertbar",IF(F153="Punkt","Punktprognose",IF(AND(ISNUMBER(I153),ISNUMBER(J153),I153&lt;&gt;J153),IF(L153&lt;I153,"unterhalb",IF(L153&gt;J153,"oberhalb","innerhalb")),"nicht auswertbar")))</f>
        <v>innerhalb</v>
      </c>
      <c r="Y153" s="25" t="str">
        <f aca="false">IF(AND(ISNUMBER(S153),OR(G153="Marge %",G153="Wachstumsrate %")),ABS(S153),"")</f>
        <v/>
      </c>
      <c r="Z153" s="0" t="str">
        <f aca="false">IFERROR(VLOOKUP(A153,Unternehmen!$A:$D,4,FALSE()),"")</f>
        <v>Pharma &amp; Healthcare</v>
      </c>
    </row>
    <row r="154" customFormat="false" ht="15" hidden="false" customHeight="true" outlineLevel="0" collapsed="false">
      <c r="A154" s="15" t="s">
        <v>75</v>
      </c>
      <c r="B154" s="15" t="n">
        <v>2021</v>
      </c>
      <c r="C154" s="15" t="s">
        <v>15</v>
      </c>
      <c r="D154" s="15" t="s">
        <v>362</v>
      </c>
      <c r="E154" s="15" t="n">
        <v>63</v>
      </c>
      <c r="F154" s="15" t="s">
        <v>153</v>
      </c>
      <c r="G154" s="15" t="s">
        <v>177</v>
      </c>
      <c r="H154" s="15" t="s">
        <v>178</v>
      </c>
      <c r="I154" s="17" t="n">
        <f aca="false">IF(ISNUMBER(K154),K154*1.01,"")</f>
        <v>18037.59</v>
      </c>
      <c r="J154" s="17" t="n">
        <f aca="false">IF(ISNUMBER(K154),K154*1.06,"")</f>
        <v>18930.54</v>
      </c>
      <c r="K154" s="17" t="n">
        <f aca="false">L152</f>
        <v>17859</v>
      </c>
      <c r="L154" s="17" t="n">
        <v>17619</v>
      </c>
      <c r="M154" s="17" t="n">
        <f aca="false">L154-K154</f>
        <v>-240</v>
      </c>
      <c r="N154" s="17" t="s">
        <v>351</v>
      </c>
      <c r="O154" s="15" t="s">
        <v>363</v>
      </c>
      <c r="P154" s="15" t="n">
        <v>63</v>
      </c>
      <c r="Q154" s="18"/>
      <c r="R154" s="25" t="n">
        <f aca="false">IF(NOT(ISNUMBER(I154)),"",IF(F154="Mindestprognose",I154,IF(ISNUMBER(J154),(I154+J154)/2,I154)))</f>
        <v>18484.065</v>
      </c>
      <c r="S154" s="25" t="n">
        <f aca="false">IF(OR(R154="",NOT(ISNUMBER(L154))),"",R154-L154)</f>
        <v>865.065000000002</v>
      </c>
      <c r="T154" s="19" t="n">
        <f aca="false">IF(OR(S154="",G154&lt;&gt;"absolut",NOT(ISNUMBER(L154)),L154=0),"",S154/ABS(L154))</f>
        <v>0.0490984164822068</v>
      </c>
      <c r="U154" s="19" t="n">
        <f aca="false">IF(T154="","",ABS(T154))</f>
        <v>0.0490984164822068</v>
      </c>
      <c r="V154" s="20" t="n">
        <f aca="false">IF(OR(F154="Punkt",NOT(ISNUMBER(L154))),"",IF(F154="Mindestprognose",IF(L154&gt;=I154,1,0),IF(AND(ISNUMBER(I154),ISNUMBER(J154),I154&lt;&gt;J154),IF(AND(L154&gt;=I154,L154&lt;=J154),1,0),"")))</f>
        <v>0</v>
      </c>
      <c r="W154" s="18"/>
      <c r="X154" s="0" t="str">
        <f aca="false">IF(OR(F154="qualitativ",F154="fehlend",NOT(ISNUMBER(L154))),"nicht auswertbar",IF(F154="Punkt","Punktprognose",IF(AND(ISNUMBER(I154),ISNUMBER(J154),I154&lt;&gt;J154),IF(L154&lt;I154,"unterhalb",IF(L154&gt;J154,"oberhalb","innerhalb")),"nicht auswertbar")))</f>
        <v>unterhalb</v>
      </c>
      <c r="Y154" s="25" t="str">
        <f aca="false">IF(AND(ISNUMBER(S154),OR(G154="Marge %",G154="Wachstumsrate %")),ABS(S154),"")</f>
        <v/>
      </c>
      <c r="Z154" s="0" t="str">
        <f aca="false">IFERROR(VLOOKUP(A154,Unternehmen!$A:$D,4,FALSE()),"")</f>
        <v>Pharma &amp; Healthcare</v>
      </c>
    </row>
    <row r="155" customFormat="false" ht="15" hidden="false" customHeight="true" outlineLevel="0" collapsed="false">
      <c r="A155" s="15" t="s">
        <v>75</v>
      </c>
      <c r="B155" s="15" t="n">
        <v>2021</v>
      </c>
      <c r="C155" s="15" t="s">
        <v>158</v>
      </c>
      <c r="D155" s="15" t="s">
        <v>362</v>
      </c>
      <c r="E155" s="15" t="n">
        <v>63</v>
      </c>
      <c r="F155" s="15" t="s">
        <v>153</v>
      </c>
      <c r="G155" s="15" t="s">
        <v>177</v>
      </c>
      <c r="H155" s="15" t="s">
        <v>178</v>
      </c>
      <c r="I155" s="17" t="n">
        <f aca="false">IF(ISNUMBER(K155),K155*1.01,"")</f>
        <v>2523.99</v>
      </c>
      <c r="J155" s="17" t="n">
        <f aca="false">IF(ISNUMBER(K155),K155*1.06,"")</f>
        <v>2648.94</v>
      </c>
      <c r="K155" s="17" t="n">
        <f aca="false">L153</f>
        <v>2499</v>
      </c>
      <c r="L155" s="17" t="n">
        <v>1915</v>
      </c>
      <c r="M155" s="17" t="n">
        <f aca="false">L155-K155</f>
        <v>-584</v>
      </c>
      <c r="N155" s="17" t="s">
        <v>351</v>
      </c>
      <c r="O155" s="15" t="s">
        <v>363</v>
      </c>
      <c r="P155" s="15" t="n">
        <v>63</v>
      </c>
      <c r="Q155" s="18"/>
      <c r="R155" s="25" t="n">
        <f aca="false">IF(NOT(ISNUMBER(I155)),"",IF(F155="Mindestprognose",I155,IF(ISNUMBER(J155),(I155+J155)/2,I155)))</f>
        <v>2586.465</v>
      </c>
      <c r="S155" s="25" t="n">
        <f aca="false">IF(OR(R155="",NOT(ISNUMBER(L155))),"",R155-L155)</f>
        <v>671.465</v>
      </c>
      <c r="T155" s="19" t="n">
        <f aca="false">IF(OR(S155="",G155&lt;&gt;"absolut",NOT(ISNUMBER(L155)),L155=0),"",S155/ABS(L155))</f>
        <v>0.350634464751958</v>
      </c>
      <c r="U155" s="19" t="n">
        <f aca="false">IF(T155="","",ABS(T155))</f>
        <v>0.350634464751958</v>
      </c>
      <c r="V155" s="20" t="n">
        <f aca="false">IF(OR(F155="Punkt",NOT(ISNUMBER(L155))),"",IF(F155="Mindestprognose",IF(L155&gt;=I155,1,0),IF(AND(ISNUMBER(I155),ISNUMBER(J155),I155&lt;&gt;J155),IF(AND(L155&gt;=I155,L155&lt;=J155),1,0),"")))</f>
        <v>0</v>
      </c>
      <c r="W155" s="18"/>
      <c r="X155" s="0" t="str">
        <f aca="false">IF(OR(F155="qualitativ",F155="fehlend",NOT(ISNUMBER(L155))),"nicht auswertbar",IF(F155="Punkt","Punktprognose",IF(AND(ISNUMBER(I155),ISNUMBER(J155),I155&lt;&gt;J155),IF(L155&lt;I155,"unterhalb",IF(L155&gt;J155,"oberhalb","innerhalb")),"nicht auswertbar")))</f>
        <v>unterhalb</v>
      </c>
      <c r="Y155" s="25" t="str">
        <f aca="false">IF(AND(ISNUMBER(S155),OR(G155="Marge %",G155="Wachstumsrate %")),ABS(S155),"")</f>
        <v/>
      </c>
      <c r="Z155" s="0" t="str">
        <f aca="false">IFERROR(VLOOKUP(A155,Unternehmen!$A:$D,4,FALSE()),"")</f>
        <v>Pharma &amp; Healthcare</v>
      </c>
    </row>
    <row r="156" customFormat="false" ht="15" hidden="false" customHeight="true" outlineLevel="0" collapsed="false">
      <c r="A156" s="15" t="s">
        <v>75</v>
      </c>
      <c r="B156" s="15" t="n">
        <v>2022</v>
      </c>
      <c r="C156" s="15" t="s">
        <v>15</v>
      </c>
      <c r="D156" s="15" t="s">
        <v>363</v>
      </c>
      <c r="E156" s="15" t="n">
        <v>63</v>
      </c>
      <c r="F156" s="15" t="s">
        <v>153</v>
      </c>
      <c r="G156" s="15" t="s">
        <v>177</v>
      </c>
      <c r="H156" s="15" t="s">
        <v>178</v>
      </c>
      <c r="I156" s="17" t="n">
        <f aca="false">IF(ISNUMBER(K156),K156*1.01,"")</f>
        <v>17795.19</v>
      </c>
      <c r="J156" s="17" t="n">
        <f aca="false">IF(ISNUMBER(K156),K156*1.06,"")</f>
        <v>18676.14</v>
      </c>
      <c r="K156" s="17" t="n">
        <f aca="false">L154</f>
        <v>17619</v>
      </c>
      <c r="L156" s="17" t="n">
        <v>19398</v>
      </c>
      <c r="M156" s="17" t="n">
        <f aca="false">L156-K156</f>
        <v>1779</v>
      </c>
      <c r="N156" s="23" t="s">
        <v>174</v>
      </c>
      <c r="O156" s="15" t="s">
        <v>364</v>
      </c>
      <c r="P156" s="15" t="n">
        <v>45</v>
      </c>
      <c r="Q156" s="18"/>
      <c r="R156" s="25" t="n">
        <f aca="false">IF(NOT(ISNUMBER(I156)),"",IF(F156="Mindestprognose",I156,IF(ISNUMBER(J156),(I156+J156)/2,I156)))</f>
        <v>18235.665</v>
      </c>
      <c r="S156" s="25" t="n">
        <f aca="false">IF(OR(R156="",NOT(ISNUMBER(L156))),"",R156-L156)</f>
        <v>-1162.335</v>
      </c>
      <c r="T156" s="19" t="n">
        <f aca="false">IF(OR(S156="",G156&lt;&gt;"absolut",NOT(ISNUMBER(L156)),L156=0),"",S156/ABS(L156))</f>
        <v>-0.0599203526136715</v>
      </c>
      <c r="U156" s="19" t="n">
        <f aca="false">IF(T156="","",ABS(T156))</f>
        <v>0.0599203526136715</v>
      </c>
      <c r="V156" s="20" t="n">
        <f aca="false">IF(OR(F156="Punkt",NOT(ISNUMBER(L156))),"",IF(F156="Mindestprognose",IF(L156&gt;=I156,1,0),IF(AND(ISNUMBER(I156),ISNUMBER(J156),I156&lt;&gt;J156),IF(AND(L156&gt;=I156,L156&lt;=J156),1,0),"")))</f>
        <v>0</v>
      </c>
      <c r="W156" s="18"/>
      <c r="X156" s="0" t="str">
        <f aca="false">IF(OR(F156="qualitativ",F156="fehlend",NOT(ISNUMBER(L156))),"nicht auswertbar",IF(F156="Punkt","Punktprognose",IF(AND(ISNUMBER(I156),ISNUMBER(J156),I156&lt;&gt;J156),IF(L156&lt;I156,"unterhalb",IF(L156&gt;J156,"oberhalb","innerhalb")),"nicht auswertbar")))</f>
        <v>oberhalb</v>
      </c>
      <c r="Y156" s="25" t="str">
        <f aca="false">IF(AND(ISNUMBER(S156),OR(G156="Marge %",G156="Wachstumsrate %")),ABS(S156),"")</f>
        <v/>
      </c>
      <c r="Z156" s="0" t="str">
        <f aca="false">IFERROR(VLOOKUP(A156,Unternehmen!$A:$D,4,FALSE()),"")</f>
        <v>Pharma &amp; Healthcare</v>
      </c>
    </row>
    <row r="157" customFormat="false" ht="15" hidden="false" customHeight="true" outlineLevel="0" collapsed="false">
      <c r="A157" s="15" t="s">
        <v>75</v>
      </c>
      <c r="B157" s="15" t="n">
        <v>2022</v>
      </c>
      <c r="C157" s="15" t="s">
        <v>158</v>
      </c>
      <c r="D157" s="15" t="s">
        <v>363</v>
      </c>
      <c r="E157" s="15" t="n">
        <v>63</v>
      </c>
      <c r="F157" s="15" t="s">
        <v>153</v>
      </c>
      <c r="G157" s="15" t="s">
        <v>177</v>
      </c>
      <c r="H157" s="15" t="s">
        <v>178</v>
      </c>
      <c r="I157" s="17" t="n">
        <f aca="false">IF(ISNUMBER(K157),K157*1.01,"")</f>
        <v>1934.15</v>
      </c>
      <c r="J157" s="17" t="n">
        <f aca="false">IF(ISNUMBER(K157),K157*1.06,"")</f>
        <v>2029.9</v>
      </c>
      <c r="K157" s="17" t="n">
        <f aca="false">L155</f>
        <v>1915</v>
      </c>
      <c r="L157" s="17" t="n">
        <v>1817</v>
      </c>
      <c r="M157" s="17" t="n">
        <f aca="false">L157-K157</f>
        <v>-98</v>
      </c>
      <c r="N157" s="17" t="s">
        <v>351</v>
      </c>
      <c r="O157" s="15" t="s">
        <v>364</v>
      </c>
      <c r="P157" s="15" t="n">
        <v>45</v>
      </c>
      <c r="Q157" s="18"/>
      <c r="R157" s="25" t="n">
        <f aca="false">IF(NOT(ISNUMBER(I157)),"",IF(F157="Mindestprognose",I157,IF(ISNUMBER(J157),(I157+J157)/2,I157)))</f>
        <v>1982.025</v>
      </c>
      <c r="S157" s="25" t="n">
        <f aca="false">IF(OR(R157="",NOT(ISNUMBER(L157))),"",R157-L157)</f>
        <v>165.025</v>
      </c>
      <c r="T157" s="19" t="n">
        <f aca="false">IF(OR(S157="",G157&lt;&gt;"absolut",NOT(ISNUMBER(L157)),L157=0),"",S157/ABS(L157))</f>
        <v>0.0908227848101266</v>
      </c>
      <c r="U157" s="19" t="n">
        <f aca="false">IF(T157="","",ABS(T157))</f>
        <v>0.0908227848101266</v>
      </c>
      <c r="V157" s="20" t="n">
        <f aca="false">IF(OR(F157="Punkt",NOT(ISNUMBER(L157))),"",IF(F157="Mindestprognose",IF(L157&gt;=I157,1,0),IF(AND(ISNUMBER(I157),ISNUMBER(J157),I157&lt;&gt;J157),IF(AND(L157&gt;=I157,L157&lt;=J157),1,0),"")))</f>
        <v>0</v>
      </c>
      <c r="W157" s="18"/>
      <c r="X157" s="0" t="str">
        <f aca="false">IF(OR(F157="qualitativ",F157="fehlend",NOT(ISNUMBER(L157))),"nicht auswertbar",IF(F157="Punkt","Punktprognose",IF(AND(ISNUMBER(I157),ISNUMBER(J157),I157&lt;&gt;J157),IF(L157&lt;I157,"unterhalb",IF(L157&gt;J157,"oberhalb","innerhalb")),"nicht auswertbar")))</f>
        <v>unterhalb</v>
      </c>
      <c r="Y157" s="25" t="str">
        <f aca="false">IF(AND(ISNUMBER(S157),OR(G157="Marge %",G157="Wachstumsrate %")),ABS(S157),"")</f>
        <v/>
      </c>
      <c r="Z157" s="0" t="str">
        <f aca="false">IFERROR(VLOOKUP(A157,Unternehmen!$A:$D,4,FALSE()),"")</f>
        <v>Pharma &amp; Healthcare</v>
      </c>
    </row>
    <row r="158" customFormat="false" ht="15" hidden="false" customHeight="true" outlineLevel="0" collapsed="false">
      <c r="A158" s="15" t="s">
        <v>75</v>
      </c>
      <c r="B158" s="15" t="n">
        <v>2023</v>
      </c>
      <c r="C158" s="15" t="s">
        <v>15</v>
      </c>
      <c r="D158" s="15" t="s">
        <v>364</v>
      </c>
      <c r="E158" s="15" t="n">
        <v>60</v>
      </c>
      <c r="F158" s="15" t="s">
        <v>153</v>
      </c>
      <c r="G158" s="15" t="s">
        <v>177</v>
      </c>
      <c r="H158" s="15" t="s">
        <v>178</v>
      </c>
      <c r="I158" s="17" t="n">
        <f aca="false">IF(ISNUMBER(K158),K158*1.01,"")</f>
        <v>19591.98</v>
      </c>
      <c r="J158" s="17" t="n">
        <f aca="false">IF(ISNUMBER(K158),K158*1.06,"")</f>
        <v>20561.88</v>
      </c>
      <c r="K158" s="17" t="n">
        <f aca="false">L156</f>
        <v>19398</v>
      </c>
      <c r="L158" s="17" t="n">
        <v>19454</v>
      </c>
      <c r="M158" s="17" t="n">
        <f aca="false">L158-K158</f>
        <v>56</v>
      </c>
      <c r="N158" s="22" t="s">
        <v>164</v>
      </c>
      <c r="O158" s="15" t="s">
        <v>365</v>
      </c>
      <c r="P158" s="15" t="n">
        <v>72</v>
      </c>
      <c r="Q158" s="18"/>
      <c r="R158" s="25" t="n">
        <f aca="false">IF(NOT(ISNUMBER(I158)),"",IF(F158="Mindestprognose",I158,IF(ISNUMBER(J158),(I158+J158)/2,I158)))</f>
        <v>20076.93</v>
      </c>
      <c r="S158" s="25" t="n">
        <f aca="false">IF(OR(R158="",NOT(ISNUMBER(L158))),"",R158-L158)</f>
        <v>622.93</v>
      </c>
      <c r="T158" s="19" t="n">
        <f aca="false">IF(OR(S158="",G158&lt;&gt;"absolut",NOT(ISNUMBER(L158)),L158=0),"",S158/ABS(L158))</f>
        <v>0.03202066413077</v>
      </c>
      <c r="U158" s="19" t="n">
        <f aca="false">IF(T158="","",ABS(T158))</f>
        <v>0.03202066413077</v>
      </c>
      <c r="V158" s="20" t="n">
        <f aca="false">IF(OR(F158="Punkt",NOT(ISNUMBER(L158))),"",IF(F158="Mindestprognose",IF(L158&gt;=I158,1,0),IF(AND(ISNUMBER(I158),ISNUMBER(J158),I158&lt;&gt;J158),IF(AND(L158&gt;=I158,L158&lt;=J158),1,0),"")))</f>
        <v>0</v>
      </c>
      <c r="W158" s="18"/>
      <c r="X158" s="0" t="str">
        <f aca="false">IF(OR(F158="qualitativ",F158="fehlend",NOT(ISNUMBER(L158))),"nicht auswertbar",IF(F158="Punkt","Punktprognose",IF(AND(ISNUMBER(I158),ISNUMBER(J158),I158&lt;&gt;J158),IF(L158&lt;I158,"unterhalb",IF(L158&gt;J158,"oberhalb","innerhalb")),"nicht auswertbar")))</f>
        <v>unterhalb</v>
      </c>
      <c r="Y158" s="25" t="str">
        <f aca="false">IF(AND(ISNUMBER(S158),OR(G158="Marge %",G158="Wachstumsrate %")),ABS(S158),"")</f>
        <v/>
      </c>
      <c r="Z158" s="0" t="str">
        <f aca="false">IFERROR(VLOOKUP(A158,Unternehmen!$A:$D,4,FALSE()),"")</f>
        <v>Pharma &amp; Healthcare</v>
      </c>
    </row>
    <row r="159" customFormat="false" ht="15" hidden="false" customHeight="true" outlineLevel="0" collapsed="false">
      <c r="A159" s="15" t="s">
        <v>75</v>
      </c>
      <c r="B159" s="15" t="n">
        <v>2023</v>
      </c>
      <c r="C159" s="15" t="s">
        <v>158</v>
      </c>
      <c r="D159" s="15" t="s">
        <v>364</v>
      </c>
      <c r="E159" s="15" t="n">
        <v>60</v>
      </c>
      <c r="F159" s="15" t="s">
        <v>153</v>
      </c>
      <c r="G159" s="15" t="s">
        <v>177</v>
      </c>
      <c r="H159" s="15" t="s">
        <v>178</v>
      </c>
      <c r="I159" s="17" t="n">
        <f aca="false">IF(ISNUMBER(K159),K159*0.91,"")</f>
        <v>1653.47</v>
      </c>
      <c r="J159" s="17" t="n">
        <f aca="false">IF(ISNUMBER(K159),K159*1,"")</f>
        <v>1817</v>
      </c>
      <c r="K159" s="17" t="n">
        <f aca="false">L157</f>
        <v>1817</v>
      </c>
      <c r="L159" s="17" t="n">
        <v>1741</v>
      </c>
      <c r="M159" s="17" t="n">
        <f aca="false">L159-K159</f>
        <v>-76</v>
      </c>
      <c r="N159" s="22" t="s">
        <v>164</v>
      </c>
      <c r="O159" s="15" t="s">
        <v>365</v>
      </c>
      <c r="P159" s="15" t="n">
        <v>72</v>
      </c>
      <c r="Q159" s="18"/>
      <c r="R159" s="25" t="n">
        <f aca="false">IF(NOT(ISNUMBER(I159)),"",IF(F159="Mindestprognose",I159,IF(ISNUMBER(J159),(I159+J159)/2,I159)))</f>
        <v>1735.235</v>
      </c>
      <c r="S159" s="25" t="n">
        <f aca="false">IF(OR(R159="",NOT(ISNUMBER(L159))),"",R159-L159)</f>
        <v>-5.76499999999987</v>
      </c>
      <c r="T159" s="19" t="n">
        <f aca="false">IF(OR(S159="",G159&lt;&gt;"absolut",NOT(ISNUMBER(L159)),L159=0),"",S159/ABS(L159))</f>
        <v>-0.00331131533601371</v>
      </c>
      <c r="U159" s="19" t="n">
        <f aca="false">IF(T159="","",ABS(T159))</f>
        <v>0.00331131533601371</v>
      </c>
      <c r="V159" s="20" t="n">
        <f aca="false">IF(OR(F159="Punkt",NOT(ISNUMBER(L159))),"",IF(F159="Mindestprognose",IF(L159&gt;=I159,1,0),IF(AND(ISNUMBER(I159),ISNUMBER(J159),I159&lt;&gt;J159),IF(AND(L159&gt;=I159,L159&lt;=J159),1,0),"")))</f>
        <v>1</v>
      </c>
      <c r="W159" s="18"/>
      <c r="X159" s="0" t="str">
        <f aca="false">IF(OR(F159="qualitativ",F159="fehlend",NOT(ISNUMBER(L159))),"nicht auswertbar",IF(F159="Punkt","Punktprognose",IF(AND(ISNUMBER(I159),ISNUMBER(J159),I159&lt;&gt;J159),IF(L159&lt;I159,"unterhalb",IF(L159&gt;J159,"oberhalb","innerhalb")),"nicht auswertbar")))</f>
        <v>innerhalb</v>
      </c>
      <c r="Y159" s="25" t="str">
        <f aca="false">IF(AND(ISNUMBER(S159),OR(G159="Marge %",G159="Wachstumsrate %")),ABS(S159),"")</f>
        <v/>
      </c>
      <c r="Z159" s="0" t="str">
        <f aca="false">IFERROR(VLOOKUP(A159,Unternehmen!$A:$D,4,FALSE()),"")</f>
        <v>Pharma &amp; Healthcare</v>
      </c>
    </row>
    <row r="160" customFormat="false" ht="15" hidden="false" customHeight="true" outlineLevel="0" collapsed="false">
      <c r="A160" s="15" t="s">
        <v>75</v>
      </c>
      <c r="B160" s="15" t="n">
        <v>2024</v>
      </c>
      <c r="C160" s="15" t="s">
        <v>15</v>
      </c>
      <c r="D160" s="15" t="s">
        <v>365</v>
      </c>
      <c r="E160" s="15" t="n">
        <v>72</v>
      </c>
      <c r="F160" s="15" t="s">
        <v>153</v>
      </c>
      <c r="G160" s="15" t="s">
        <v>177</v>
      </c>
      <c r="H160" s="15" t="s">
        <v>178</v>
      </c>
      <c r="I160" s="17" t="n">
        <f aca="false">IF(ISNUMBER(K160),K160*1.01,"")</f>
        <v>19648.54</v>
      </c>
      <c r="J160" s="17" t="n">
        <f aca="false">IF(ISNUMBER(K160),K160*1.06,"")</f>
        <v>20621.24</v>
      </c>
      <c r="K160" s="17" t="n">
        <f aca="false">L158</f>
        <v>19454</v>
      </c>
      <c r="L160" s="17" t="n">
        <v>19336</v>
      </c>
      <c r="M160" s="17" t="n">
        <f aca="false">L160-K160</f>
        <v>-118</v>
      </c>
      <c r="N160" s="17" t="s">
        <v>351</v>
      </c>
      <c r="O160" s="15" t="s">
        <v>366</v>
      </c>
      <c r="P160" s="15" t="n">
        <v>183</v>
      </c>
      <c r="Q160" s="18"/>
      <c r="R160" s="25" t="n">
        <f aca="false">IF(NOT(ISNUMBER(I160)),"",IF(F160="Mindestprognose",I160,IF(ISNUMBER(J160),(I160+J160)/2,I160)))</f>
        <v>20134.89</v>
      </c>
      <c r="S160" s="25" t="n">
        <f aca="false">IF(OR(R160="",NOT(ISNUMBER(L160))),"",R160-L160)</f>
        <v>798.889999999999</v>
      </c>
      <c r="T160" s="19" t="n">
        <f aca="false">IF(OR(S160="",G160&lt;&gt;"absolut",NOT(ISNUMBER(L160)),L160=0),"",S160/ABS(L160))</f>
        <v>0.0413161977658254</v>
      </c>
      <c r="U160" s="19" t="n">
        <f aca="false">IF(T160="","",ABS(T160))</f>
        <v>0.0413161977658254</v>
      </c>
      <c r="V160" s="20" t="n">
        <f aca="false">IF(OR(F160="Punkt",NOT(ISNUMBER(L160))),"",IF(F160="Mindestprognose",IF(L160&gt;=I160,1,0),IF(AND(ISNUMBER(I160),ISNUMBER(J160),I160&lt;&gt;J160),IF(AND(L160&gt;=I160,L160&lt;=J160),1,0),"")))</f>
        <v>0</v>
      </c>
      <c r="W160" s="18"/>
      <c r="X160" s="0" t="str">
        <f aca="false">IF(OR(F160="qualitativ",F160="fehlend",NOT(ISNUMBER(L160))),"nicht auswertbar",IF(F160="Punkt","Punktprognose",IF(AND(ISNUMBER(I160),ISNUMBER(J160),I160&lt;&gt;J160),IF(L160&lt;I160,"unterhalb",IF(L160&gt;J160,"oberhalb","innerhalb")),"nicht auswertbar")))</f>
        <v>unterhalb</v>
      </c>
      <c r="Y160" s="25" t="str">
        <f aca="false">IF(AND(ISNUMBER(S160),OR(G160="Marge %",G160="Wachstumsrate %")),ABS(S160),"")</f>
        <v/>
      </c>
      <c r="Z160" s="0" t="str">
        <f aca="false">IFERROR(VLOOKUP(A160,Unternehmen!$A:$D,4,FALSE()),"")</f>
        <v>Pharma &amp; Healthcare</v>
      </c>
    </row>
    <row r="161" customFormat="false" ht="15" hidden="false" customHeight="true" outlineLevel="0" collapsed="false">
      <c r="A161" s="15" t="s">
        <v>75</v>
      </c>
      <c r="B161" s="15" t="n">
        <v>2024</v>
      </c>
      <c r="C161" s="15" t="s">
        <v>158</v>
      </c>
      <c r="D161" s="15" t="s">
        <v>365</v>
      </c>
      <c r="E161" s="15" t="n">
        <v>72</v>
      </c>
      <c r="F161" s="15" t="s">
        <v>153</v>
      </c>
      <c r="G161" s="15" t="s">
        <v>177</v>
      </c>
      <c r="H161" s="15" t="s">
        <v>178</v>
      </c>
      <c r="I161" s="17" t="n">
        <f aca="false">IF(ISNUMBER(K161),K161*1.14,"")</f>
        <v>1984.74</v>
      </c>
      <c r="J161" s="17" t="n">
        <f aca="false">IF(ISNUMBER(K161),K161*1.19,"")</f>
        <v>2071.79</v>
      </c>
      <c r="K161" s="17" t="n">
        <f aca="false">L159</f>
        <v>1741</v>
      </c>
      <c r="L161" s="17" t="n">
        <v>1797</v>
      </c>
      <c r="M161" s="17" t="n">
        <f aca="false">L161-K161</f>
        <v>56</v>
      </c>
      <c r="N161" s="17" t="s">
        <v>367</v>
      </c>
      <c r="O161" s="15" t="s">
        <v>366</v>
      </c>
      <c r="P161" s="15" t="n">
        <v>183</v>
      </c>
      <c r="Q161" s="18"/>
      <c r="R161" s="25" t="n">
        <f aca="false">IF(NOT(ISNUMBER(I161)),"",IF(F161="Mindestprognose",I161,IF(ISNUMBER(J161),(I161+J161)/2,I161)))</f>
        <v>2028.265</v>
      </c>
      <c r="S161" s="25" t="n">
        <f aca="false">IF(OR(R161="",NOT(ISNUMBER(L161))),"",R161-L161)</f>
        <v>231.265</v>
      </c>
      <c r="T161" s="19" t="n">
        <f aca="false">IF(OR(S161="",G161&lt;&gt;"absolut",NOT(ISNUMBER(L161)),L161=0),"",S161/ABS(L161))</f>
        <v>0.128695047301057</v>
      </c>
      <c r="U161" s="19" t="n">
        <f aca="false">IF(T161="","",ABS(T161))</f>
        <v>0.128695047301057</v>
      </c>
      <c r="V161" s="20" t="n">
        <f aca="false">IF(OR(F161="Punkt",NOT(ISNUMBER(L161))),"",IF(F161="Mindestprognose",IF(L161&gt;=I161,1,0),IF(AND(ISNUMBER(I161),ISNUMBER(J161),I161&lt;&gt;J161),IF(AND(L161&gt;=I161,L161&lt;=J161),1,0),"")))</f>
        <v>0</v>
      </c>
      <c r="W161" s="18"/>
      <c r="X161" s="0" t="str">
        <f aca="false">IF(OR(F161="qualitativ",F161="fehlend",NOT(ISNUMBER(L161))),"nicht auswertbar",IF(F161="Punkt","Punktprognose",IF(AND(ISNUMBER(I161),ISNUMBER(J161),I161&lt;&gt;J161),IF(L161&lt;I161,"unterhalb",IF(L161&gt;J161,"oberhalb","innerhalb")),"nicht auswertbar")))</f>
        <v>unterhalb</v>
      </c>
      <c r="Y161" s="25" t="str">
        <f aca="false">IF(AND(ISNUMBER(S161),OR(G161="Marge %",G161="Wachstumsrate %")),ABS(S161),"")</f>
        <v/>
      </c>
      <c r="Z161" s="0" t="str">
        <f aca="false">IFERROR(VLOOKUP(A161,Unternehmen!$A:$D,4,FALSE()),"")</f>
        <v>Pharma &amp; Healthcare</v>
      </c>
    </row>
    <row r="162" customFormat="false" ht="15" hidden="false" customHeight="true" outlineLevel="0" collapsed="false">
      <c r="A162" s="15" t="s">
        <v>77</v>
      </c>
      <c r="B162" s="15" t="n">
        <v>2020</v>
      </c>
      <c r="C162" s="15" t="s">
        <v>15</v>
      </c>
      <c r="D162" s="15" t="s">
        <v>368</v>
      </c>
      <c r="E162" s="15" t="n">
        <v>59</v>
      </c>
      <c r="F162" s="15" t="s">
        <v>187</v>
      </c>
      <c r="G162" s="15" t="s">
        <v>177</v>
      </c>
      <c r="H162" s="15" t="s">
        <v>178</v>
      </c>
      <c r="I162" s="24"/>
      <c r="J162" s="24"/>
      <c r="K162" s="17" t="n">
        <v>18851</v>
      </c>
      <c r="L162" s="17" t="n">
        <v>17606</v>
      </c>
      <c r="M162" s="17" t="n">
        <f aca="false">L162-K162</f>
        <v>-1245</v>
      </c>
      <c r="N162" s="17" t="s">
        <v>351</v>
      </c>
      <c r="O162" s="15" t="s">
        <v>369</v>
      </c>
      <c r="P162" s="15" t="s">
        <v>227</v>
      </c>
      <c r="Q162" s="18"/>
      <c r="R162" s="25" t="str">
        <f aca="false">IF(NOT(ISNUMBER(I162)),"",IF(F162="Mindestprognose",I162,IF(ISNUMBER(J162),(I162+J162)/2,I162)))</f>
        <v/>
      </c>
      <c r="S162" s="25" t="str">
        <f aca="false">IF(OR(R162="",NOT(ISNUMBER(L162))),"",R162-L162)</f>
        <v/>
      </c>
      <c r="T162" s="19" t="str">
        <f aca="false">IF(OR(S162="",G162&lt;&gt;"absolut",NOT(ISNUMBER(L162)),L162=0),"",S162/ABS(L162))</f>
        <v/>
      </c>
      <c r="U162" s="19" t="str">
        <f aca="false">IF(T162="","",ABS(T162))</f>
        <v/>
      </c>
      <c r="V162" s="20" t="str">
        <f aca="false">IF(OR(F162="Punkt",NOT(ISNUMBER(L162))),"",IF(F162="Mindestprognose",IF(L162&gt;=I162,1,0),IF(AND(ISNUMBER(I162),ISNUMBER(J162),I162&lt;&gt;J162),IF(AND(L162&gt;=I162,L162&lt;=J162),1,0),"")))</f>
        <v/>
      </c>
      <c r="W162" s="18" t="s">
        <v>334</v>
      </c>
      <c r="X162" s="0" t="str">
        <f aca="false">IF(OR(F162="qualitativ",F162="fehlend",NOT(ISNUMBER(L162))),"nicht auswertbar",IF(F162="Punkt","Punktprognose",IF(AND(ISNUMBER(I162),ISNUMBER(J162),I162&lt;&gt;J162),IF(L162&lt;I162,"unterhalb",IF(L162&gt;J162,"oberhalb","innerhalb")),"nicht auswertbar")))</f>
        <v>nicht auswertbar</v>
      </c>
      <c r="Y162" s="25" t="str">
        <f aca="false">IF(AND(ISNUMBER(S162),OR(G162="Marge %",G162="Wachstumsrate %")),ABS(S162),"")</f>
        <v/>
      </c>
      <c r="Z162" s="0" t="str">
        <f aca="false">IFERROR(VLOOKUP(A162,Unternehmen!$A:$D,4,FALSE()),"")</f>
        <v>Bau</v>
      </c>
    </row>
    <row r="163" customFormat="false" ht="15" hidden="false" customHeight="true" outlineLevel="0" collapsed="false">
      <c r="A163" s="15" t="s">
        <v>77</v>
      </c>
      <c r="B163" s="15" t="n">
        <v>2020</v>
      </c>
      <c r="C163" s="15" t="s">
        <v>158</v>
      </c>
      <c r="D163" s="15" t="s">
        <v>368</v>
      </c>
      <c r="E163" s="15" t="n">
        <v>60</v>
      </c>
      <c r="F163" s="15" t="s">
        <v>187</v>
      </c>
      <c r="G163" s="15" t="s">
        <v>177</v>
      </c>
      <c r="H163" s="15" t="s">
        <v>178</v>
      </c>
      <c r="I163" s="24"/>
      <c r="J163" s="24"/>
      <c r="K163" s="17" t="n">
        <v>2186</v>
      </c>
      <c r="L163" s="17" t="n">
        <v>2363</v>
      </c>
      <c r="M163" s="17" t="n">
        <f aca="false">L163-K163</f>
        <v>177</v>
      </c>
      <c r="N163" s="22" t="s">
        <v>164</v>
      </c>
      <c r="O163" s="15" t="s">
        <v>369</v>
      </c>
      <c r="P163" s="15" t="s">
        <v>227</v>
      </c>
      <c r="Q163" s="18"/>
      <c r="R163" s="25" t="str">
        <f aca="false">IF(NOT(ISNUMBER(I163)),"",IF(F163="Mindestprognose",I163,IF(ISNUMBER(J163),(I163+J163)/2,I163)))</f>
        <v/>
      </c>
      <c r="S163" s="25" t="str">
        <f aca="false">IF(OR(R163="",NOT(ISNUMBER(L163))),"",R163-L163)</f>
        <v/>
      </c>
      <c r="T163" s="19" t="str">
        <f aca="false">IF(OR(S163="",G163&lt;&gt;"absolut",NOT(ISNUMBER(L163)),L163=0),"",S163/ABS(L163))</f>
        <v/>
      </c>
      <c r="U163" s="19" t="str">
        <f aca="false">IF(T163="","",ABS(T163))</f>
        <v/>
      </c>
      <c r="V163" s="20" t="str">
        <f aca="false">IF(OR(F163="Punkt",NOT(ISNUMBER(L163))),"",IF(F163="Mindestprognose",IF(L163&gt;=I163,1,0),IF(AND(ISNUMBER(I163),ISNUMBER(J163),I163&lt;&gt;J163),IF(AND(L163&gt;=I163,L163&lt;=J163),1,0),"")))</f>
        <v/>
      </c>
      <c r="W163" s="18" t="s">
        <v>334</v>
      </c>
      <c r="X163" s="0" t="str">
        <f aca="false">IF(OR(F163="qualitativ",F163="fehlend",NOT(ISNUMBER(L163))),"nicht auswertbar",IF(F163="Punkt","Punktprognose",IF(AND(ISNUMBER(I163),ISNUMBER(J163),I163&lt;&gt;J163),IF(L163&lt;I163,"unterhalb",IF(L163&gt;J163,"oberhalb","innerhalb")),"nicht auswertbar")))</f>
        <v>nicht auswertbar</v>
      </c>
      <c r="Y163" s="25" t="str">
        <f aca="false">IF(AND(ISNUMBER(S163),OR(G163="Marge %",G163="Wachstumsrate %")),ABS(S163),"")</f>
        <v/>
      </c>
      <c r="Z163" s="0" t="str">
        <f aca="false">IFERROR(VLOOKUP(A163,Unternehmen!$A:$D,4,FALSE()),"")</f>
        <v>Bau</v>
      </c>
    </row>
    <row r="164" customFormat="false" ht="15" hidden="false" customHeight="true" outlineLevel="0" collapsed="false">
      <c r="A164" s="15" t="s">
        <v>77</v>
      </c>
      <c r="B164" s="15" t="n">
        <v>2021</v>
      </c>
      <c r="C164" s="15" t="s">
        <v>15</v>
      </c>
      <c r="D164" s="15" t="s">
        <v>369</v>
      </c>
      <c r="E164" s="15" t="n">
        <v>62</v>
      </c>
      <c r="F164" s="15" t="s">
        <v>187</v>
      </c>
      <c r="G164" s="15" t="s">
        <v>177</v>
      </c>
      <c r="H164" s="15" t="s">
        <v>178</v>
      </c>
      <c r="I164" s="24"/>
      <c r="J164" s="24"/>
      <c r="K164" s="17" t="n">
        <f aca="false">L162</f>
        <v>17606</v>
      </c>
      <c r="L164" s="17" t="n">
        <v>18720</v>
      </c>
      <c r="M164" s="17" t="n">
        <f aca="false">L164-K164</f>
        <v>1114</v>
      </c>
      <c r="N164" s="22" t="s">
        <v>164</v>
      </c>
      <c r="O164" s="15" t="s">
        <v>370</v>
      </c>
      <c r="P164" s="15" t="s">
        <v>227</v>
      </c>
      <c r="Q164" s="18"/>
      <c r="R164" s="25" t="str">
        <f aca="false">IF(NOT(ISNUMBER(I164)),"",IF(F164="Mindestprognose",I164,IF(ISNUMBER(J164),(I164+J164)/2,I164)))</f>
        <v/>
      </c>
      <c r="S164" s="25" t="str">
        <f aca="false">IF(OR(R164="",NOT(ISNUMBER(L164))),"",R164-L164)</f>
        <v/>
      </c>
      <c r="T164" s="19" t="str">
        <f aca="false">IF(OR(S164="",G164&lt;&gt;"absolut",NOT(ISNUMBER(L164)),L164=0),"",S164/ABS(L164))</f>
        <v/>
      </c>
      <c r="U164" s="19" t="str">
        <f aca="false">IF(T164="","",ABS(T164))</f>
        <v/>
      </c>
      <c r="V164" s="20" t="str">
        <f aca="false">IF(OR(F164="Punkt",NOT(ISNUMBER(L164))),"",IF(F164="Mindestprognose",IF(L164&gt;=I164,1,0),IF(AND(ISNUMBER(I164),ISNUMBER(J164),I164&lt;&gt;J164),IF(AND(L164&gt;=I164,L164&lt;=J164),1,0),"")))</f>
        <v/>
      </c>
      <c r="W164" s="18" t="s">
        <v>334</v>
      </c>
      <c r="X164" s="0" t="str">
        <f aca="false">IF(OR(F164="qualitativ",F164="fehlend",NOT(ISNUMBER(L164))),"nicht auswertbar",IF(F164="Punkt","Punktprognose",IF(AND(ISNUMBER(I164),ISNUMBER(J164),I164&lt;&gt;J164),IF(L164&lt;I164,"unterhalb",IF(L164&gt;J164,"oberhalb","innerhalb")),"nicht auswertbar")))</f>
        <v>nicht auswertbar</v>
      </c>
      <c r="Y164" s="25" t="str">
        <f aca="false">IF(AND(ISNUMBER(S164),OR(G164="Marge %",G164="Wachstumsrate %")),ABS(S164),"")</f>
        <v/>
      </c>
      <c r="Z164" s="0" t="str">
        <f aca="false">IFERROR(VLOOKUP(A164,Unternehmen!$A:$D,4,FALSE()),"")</f>
        <v>Bau</v>
      </c>
    </row>
    <row r="165" customFormat="false" ht="15" hidden="false" customHeight="true" outlineLevel="0" collapsed="false">
      <c r="A165" s="15" t="s">
        <v>77</v>
      </c>
      <c r="B165" s="15" t="n">
        <v>2021</v>
      </c>
      <c r="C165" s="15" t="s">
        <v>158</v>
      </c>
      <c r="D165" s="15" t="s">
        <v>369</v>
      </c>
      <c r="E165" s="15" t="n">
        <v>62</v>
      </c>
      <c r="F165" s="15" t="s">
        <v>187</v>
      </c>
      <c r="G165" s="15" t="s">
        <v>177</v>
      </c>
      <c r="H165" s="15" t="s">
        <v>178</v>
      </c>
      <c r="I165" s="24"/>
      <c r="J165" s="24"/>
      <c r="K165" s="17" t="n">
        <f aca="false">L163</f>
        <v>2363</v>
      </c>
      <c r="L165" s="17" t="n">
        <v>2614</v>
      </c>
      <c r="M165" s="17" t="n">
        <f aca="false">L165-K165</f>
        <v>251</v>
      </c>
      <c r="N165" s="22" t="s">
        <v>164</v>
      </c>
      <c r="O165" s="15" t="s">
        <v>370</v>
      </c>
      <c r="P165" s="15" t="s">
        <v>227</v>
      </c>
      <c r="Q165" s="18"/>
      <c r="R165" s="25" t="str">
        <f aca="false">IF(NOT(ISNUMBER(I165)),"",IF(F165="Mindestprognose",I165,IF(ISNUMBER(J165),(I165+J165)/2,I165)))</f>
        <v/>
      </c>
      <c r="S165" s="25" t="str">
        <f aca="false">IF(OR(R165="",NOT(ISNUMBER(L165))),"",R165-L165)</f>
        <v/>
      </c>
      <c r="T165" s="19" t="str">
        <f aca="false">IF(OR(S165="",G165&lt;&gt;"absolut",NOT(ISNUMBER(L165)),L165=0),"",S165/ABS(L165))</f>
        <v/>
      </c>
      <c r="U165" s="19" t="str">
        <f aca="false">IF(T165="","",ABS(T165))</f>
        <v/>
      </c>
      <c r="V165" s="20" t="str">
        <f aca="false">IF(OR(F165="Punkt",NOT(ISNUMBER(L165))),"",IF(F165="Mindestprognose",IF(L165&gt;=I165,1,0),IF(AND(ISNUMBER(I165),ISNUMBER(J165),I165&lt;&gt;J165),IF(AND(L165&gt;=I165,L165&lt;=J165),1,0),"")))</f>
        <v/>
      </c>
      <c r="W165" s="18" t="s">
        <v>334</v>
      </c>
      <c r="X165" s="0" t="str">
        <f aca="false">IF(OR(F165="qualitativ",F165="fehlend",NOT(ISNUMBER(L165))),"nicht auswertbar",IF(F165="Punkt","Punktprognose",IF(AND(ISNUMBER(I165),ISNUMBER(J165),I165&lt;&gt;J165),IF(L165&lt;I165,"unterhalb",IF(L165&gt;J165,"oberhalb","innerhalb")),"nicht auswertbar")))</f>
        <v>nicht auswertbar</v>
      </c>
      <c r="Y165" s="25" t="str">
        <f aca="false">IF(AND(ISNUMBER(S165),OR(G165="Marge %",G165="Wachstumsrate %")),ABS(S165),"")</f>
        <v/>
      </c>
      <c r="Z165" s="0" t="str">
        <f aca="false">IFERROR(VLOOKUP(A165,Unternehmen!$A:$D,4,FALSE()),"")</f>
        <v>Bau</v>
      </c>
    </row>
    <row r="166" customFormat="false" ht="15" hidden="false" customHeight="true" outlineLevel="0" collapsed="false">
      <c r="A166" s="15" t="s">
        <v>77</v>
      </c>
      <c r="B166" s="15" t="n">
        <v>2022</v>
      </c>
      <c r="C166" s="15" t="s">
        <v>15</v>
      </c>
      <c r="D166" s="15" t="s">
        <v>370</v>
      </c>
      <c r="E166" s="15" t="n">
        <v>70</v>
      </c>
      <c r="F166" s="15" t="s">
        <v>187</v>
      </c>
      <c r="G166" s="15" t="s">
        <v>177</v>
      </c>
      <c r="H166" s="15" t="s">
        <v>178</v>
      </c>
      <c r="I166" s="24"/>
      <c r="J166" s="24"/>
      <c r="K166" s="17" t="n">
        <f aca="false">L164</f>
        <v>18720</v>
      </c>
      <c r="L166" s="17" t="n">
        <v>21095.1</v>
      </c>
      <c r="M166" s="17" t="n">
        <f aca="false">L166-K166</f>
        <v>2375.1</v>
      </c>
      <c r="N166" s="22" t="s">
        <v>164</v>
      </c>
      <c r="O166" s="15" t="s">
        <v>371</v>
      </c>
      <c r="P166" s="15" t="n">
        <v>79</v>
      </c>
      <c r="Q166" s="18"/>
      <c r="R166" s="25" t="str">
        <f aca="false">IF(NOT(ISNUMBER(I166)),"",IF(F166="Mindestprognose",I166,IF(ISNUMBER(J166),(I166+J166)/2,I166)))</f>
        <v/>
      </c>
      <c r="S166" s="25" t="str">
        <f aca="false">IF(OR(R166="",NOT(ISNUMBER(L166))),"",R166-L166)</f>
        <v/>
      </c>
      <c r="T166" s="19" t="str">
        <f aca="false">IF(OR(S166="",G166&lt;&gt;"absolut",NOT(ISNUMBER(L166)),L166=0),"",S166/ABS(L166))</f>
        <v/>
      </c>
      <c r="U166" s="19" t="str">
        <f aca="false">IF(T166="","",ABS(T166))</f>
        <v/>
      </c>
      <c r="V166" s="20" t="str">
        <f aca="false">IF(OR(F166="Punkt",NOT(ISNUMBER(L166))),"",IF(F166="Mindestprognose",IF(L166&gt;=I166,1,0),IF(AND(ISNUMBER(I166),ISNUMBER(J166),I166&lt;&gt;J166),IF(AND(L166&gt;=I166,L166&lt;=J166),1,0),"")))</f>
        <v/>
      </c>
      <c r="W166" s="18" t="s">
        <v>372</v>
      </c>
      <c r="X166" s="0" t="str">
        <f aca="false">IF(OR(F166="qualitativ",F166="fehlend",NOT(ISNUMBER(L166))),"nicht auswertbar",IF(F166="Punkt","Punktprognose",IF(AND(ISNUMBER(I166),ISNUMBER(J166),I166&lt;&gt;J166),IF(L166&lt;I166,"unterhalb",IF(L166&gt;J166,"oberhalb","innerhalb")),"nicht auswertbar")))</f>
        <v>nicht auswertbar</v>
      </c>
      <c r="Y166" s="25" t="str">
        <f aca="false">IF(AND(ISNUMBER(S166),OR(G166="Marge %",G166="Wachstumsrate %")),ABS(S166),"")</f>
        <v/>
      </c>
      <c r="Z166" s="0" t="str">
        <f aca="false">IFERROR(VLOOKUP(A166,Unternehmen!$A:$D,4,FALSE()),"")</f>
        <v>Bau</v>
      </c>
    </row>
    <row r="167" customFormat="false" ht="15" hidden="false" customHeight="true" outlineLevel="0" collapsed="false">
      <c r="A167" s="15" t="s">
        <v>77</v>
      </c>
      <c r="B167" s="15" t="n">
        <v>2022</v>
      </c>
      <c r="C167" s="15" t="s">
        <v>158</v>
      </c>
      <c r="D167" s="15" t="s">
        <v>370</v>
      </c>
      <c r="E167" s="15" t="n">
        <v>69</v>
      </c>
      <c r="F167" s="15" t="s">
        <v>187</v>
      </c>
      <c r="G167" s="15" t="s">
        <v>177</v>
      </c>
      <c r="H167" s="15" t="s">
        <v>178</v>
      </c>
      <c r="I167" s="24"/>
      <c r="J167" s="24"/>
      <c r="K167" s="17" t="n">
        <f aca="false">L165</f>
        <v>2614</v>
      </c>
      <c r="L167" s="17" t="n">
        <v>2475.6</v>
      </c>
      <c r="M167" s="17" t="n">
        <f aca="false">L167-K167</f>
        <v>-138.4</v>
      </c>
      <c r="N167" s="17" t="s">
        <v>351</v>
      </c>
      <c r="O167" s="15" t="s">
        <v>371</v>
      </c>
      <c r="P167" s="15" t="n">
        <v>79</v>
      </c>
      <c r="Q167" s="18"/>
      <c r="R167" s="25" t="str">
        <f aca="false">IF(NOT(ISNUMBER(I167)),"",IF(F167="Mindestprognose",I167,IF(ISNUMBER(J167),(I167+J167)/2,I167)))</f>
        <v/>
      </c>
      <c r="S167" s="25" t="str">
        <f aca="false">IF(OR(R167="",NOT(ISNUMBER(L167))),"",R167-L167)</f>
        <v/>
      </c>
      <c r="T167" s="19" t="str">
        <f aca="false">IF(OR(S167="",G167&lt;&gt;"absolut",NOT(ISNUMBER(L167)),L167=0),"",S167/ABS(L167))</f>
        <v/>
      </c>
      <c r="U167" s="19" t="str">
        <f aca="false">IF(T167="","",ABS(T167))</f>
        <v/>
      </c>
      <c r="V167" s="20" t="str">
        <f aca="false">IF(OR(F167="Punkt",NOT(ISNUMBER(L167))),"",IF(F167="Mindestprognose",IF(L167&gt;=I167,1,0),IF(AND(ISNUMBER(I167),ISNUMBER(J167),I167&lt;&gt;J167),IF(AND(L167&gt;=I167,L167&lt;=J167),1,0),"")))</f>
        <v/>
      </c>
      <c r="W167" s="18" t="s">
        <v>334</v>
      </c>
      <c r="X167" s="0" t="str">
        <f aca="false">IF(OR(F167="qualitativ",F167="fehlend",NOT(ISNUMBER(L167))),"nicht auswertbar",IF(F167="Punkt","Punktprognose",IF(AND(ISNUMBER(I167),ISNUMBER(J167),I167&lt;&gt;J167),IF(L167&lt;I167,"unterhalb",IF(L167&gt;J167,"oberhalb","innerhalb")),"nicht auswertbar")))</f>
        <v>nicht auswertbar</v>
      </c>
      <c r="Y167" s="25" t="str">
        <f aca="false">IF(AND(ISNUMBER(S167),OR(G167="Marge %",G167="Wachstumsrate %")),ABS(S167),"")</f>
        <v/>
      </c>
      <c r="Z167" s="0" t="str">
        <f aca="false">IFERROR(VLOOKUP(A167,Unternehmen!$A:$D,4,FALSE()),"")</f>
        <v>Bau</v>
      </c>
    </row>
    <row r="168" customFormat="false" ht="15" hidden="false" customHeight="true" outlineLevel="0" collapsed="false">
      <c r="A168" s="15" t="s">
        <v>77</v>
      </c>
      <c r="B168" s="15" t="n">
        <v>2023</v>
      </c>
      <c r="C168" s="15" t="s">
        <v>15</v>
      </c>
      <c r="D168" s="15" t="s">
        <v>371</v>
      </c>
      <c r="E168" s="15" t="n">
        <v>131</v>
      </c>
      <c r="F168" s="15" t="s">
        <v>187</v>
      </c>
      <c r="G168" s="15" t="s">
        <v>177</v>
      </c>
      <c r="H168" s="15" t="s">
        <v>178</v>
      </c>
      <c r="I168" s="24"/>
      <c r="J168" s="24"/>
      <c r="K168" s="17" t="n">
        <f aca="false">L166</f>
        <v>21095.1</v>
      </c>
      <c r="L168" s="17" t="n">
        <v>21177.6</v>
      </c>
      <c r="M168" s="17" t="n">
        <f aca="false">L168-K168</f>
        <v>82.5</v>
      </c>
      <c r="N168" s="22" t="s">
        <v>164</v>
      </c>
      <c r="O168" s="39" t="s">
        <v>373</v>
      </c>
      <c r="P168" s="15" t="n">
        <v>187</v>
      </c>
      <c r="Q168" s="18"/>
      <c r="R168" s="25" t="str">
        <f aca="false">IF(NOT(ISNUMBER(I168)),"",IF(F168="Mindestprognose",I168,IF(ISNUMBER(J168),(I168+J168)/2,I168)))</f>
        <v/>
      </c>
      <c r="S168" s="25" t="str">
        <f aca="false">IF(OR(R168="",NOT(ISNUMBER(L168))),"",R168-L168)</f>
        <v/>
      </c>
      <c r="T168" s="19" t="str">
        <f aca="false">IF(OR(S168="",G168&lt;&gt;"absolut",NOT(ISNUMBER(L168)),L168=0),"",S168/ABS(L168))</f>
        <v/>
      </c>
      <c r="U168" s="19" t="str">
        <f aca="false">IF(T168="","",ABS(T168))</f>
        <v/>
      </c>
      <c r="V168" s="20" t="str">
        <f aca="false">IF(OR(F168="Punkt",NOT(ISNUMBER(L168))),"",IF(F168="Mindestprognose",IF(L168&gt;=I168,1,0),IF(AND(ISNUMBER(I168),ISNUMBER(J168),I168&lt;&gt;J168),IF(AND(L168&gt;=I168,L168&lt;=J168),1,0),"")))</f>
        <v/>
      </c>
      <c r="W168" s="18" t="s">
        <v>374</v>
      </c>
      <c r="X168" s="0" t="str">
        <f aca="false">IF(OR(F168="qualitativ",F168="fehlend",NOT(ISNUMBER(L168))),"nicht auswertbar",IF(F168="Punkt","Punktprognose",IF(AND(ISNUMBER(I168),ISNUMBER(J168),I168&lt;&gt;J168),IF(L168&lt;I168,"unterhalb",IF(L168&gt;J168,"oberhalb","innerhalb")),"nicht auswertbar")))</f>
        <v>nicht auswertbar</v>
      </c>
      <c r="Y168" s="25" t="str">
        <f aca="false">IF(AND(ISNUMBER(S168),OR(G168="Marge %",G168="Wachstumsrate %")),ABS(S168),"")</f>
        <v/>
      </c>
      <c r="Z168" s="0" t="str">
        <f aca="false">IFERROR(VLOOKUP(A168,Unternehmen!$A:$D,4,FALSE()),"")</f>
        <v>Bau</v>
      </c>
    </row>
    <row r="169" customFormat="false" ht="15" hidden="false" customHeight="true" outlineLevel="0" collapsed="false">
      <c r="A169" s="15" t="s">
        <v>77</v>
      </c>
      <c r="B169" s="15" t="n">
        <v>2023</v>
      </c>
      <c r="C169" s="15" t="s">
        <v>158</v>
      </c>
      <c r="D169" s="15" t="s">
        <v>371</v>
      </c>
      <c r="E169" s="15" t="n">
        <v>131</v>
      </c>
      <c r="F169" s="15" t="s">
        <v>183</v>
      </c>
      <c r="G169" s="15" t="s">
        <v>177</v>
      </c>
      <c r="H169" s="15" t="s">
        <v>178</v>
      </c>
      <c r="I169" s="17" t="n">
        <v>2350</v>
      </c>
      <c r="J169" s="17" t="n">
        <v>2650</v>
      </c>
      <c r="K169" s="17" t="n">
        <f aca="false">L167</f>
        <v>2475.6</v>
      </c>
      <c r="L169" s="17" t="n">
        <v>3022.5</v>
      </c>
      <c r="M169" s="17" t="n">
        <f aca="false">L169-K169</f>
        <v>546.9</v>
      </c>
      <c r="N169" s="23" t="s">
        <v>174</v>
      </c>
      <c r="O169" s="39" t="s">
        <v>373</v>
      </c>
      <c r="P169" s="15" t="n">
        <v>187</v>
      </c>
      <c r="Q169" s="18"/>
      <c r="R169" s="25" t="n">
        <f aca="false">IF(NOT(ISNUMBER(I169)),"",IF(F169="Mindestprognose",I169,IF(ISNUMBER(J169),(I169+J169)/2,I169)))</f>
        <v>2500</v>
      </c>
      <c r="S169" s="25" t="n">
        <f aca="false">IF(OR(R169="",NOT(ISNUMBER(L169))),"",R169-L169)</f>
        <v>-522.5</v>
      </c>
      <c r="T169" s="19" t="n">
        <f aca="false">IF(OR(S169="",G169&lt;&gt;"absolut",NOT(ISNUMBER(L169)),L169=0),"",S169/ABS(L169))</f>
        <v>-0.172870140612076</v>
      </c>
      <c r="U169" s="19" t="n">
        <f aca="false">IF(T169="","",ABS(T169))</f>
        <v>0.172870140612076</v>
      </c>
      <c r="V169" s="20" t="n">
        <f aca="false">IF(OR(F169="Punkt",NOT(ISNUMBER(L169))),"",IF(F169="Mindestprognose",IF(L169&gt;=I169,1,0),IF(AND(ISNUMBER(I169),ISNUMBER(J169),I169&lt;&gt;J169),IF(AND(L169&gt;=I169,L169&lt;=J169),1,0),"")))</f>
        <v>0</v>
      </c>
      <c r="W169" s="18"/>
      <c r="X169" s="0" t="str">
        <f aca="false">IF(OR(F169="qualitativ",F169="fehlend",NOT(ISNUMBER(L169))),"nicht auswertbar",IF(F169="Punkt","Punktprognose",IF(AND(ISNUMBER(I169),ISNUMBER(J169),I169&lt;&gt;J169),IF(L169&lt;I169,"unterhalb",IF(L169&gt;J169,"oberhalb","innerhalb")),"nicht auswertbar")))</f>
        <v>oberhalb</v>
      </c>
      <c r="Y169" s="25" t="str">
        <f aca="false">IF(AND(ISNUMBER(S169),OR(G169="Marge %",G169="Wachstumsrate %")),ABS(S169),"")</f>
        <v/>
      </c>
      <c r="Z169" s="0" t="str">
        <f aca="false">IFERROR(VLOOKUP(A169,Unternehmen!$A:$D,4,FALSE()),"")</f>
        <v>Bau</v>
      </c>
    </row>
    <row r="170" customFormat="false" ht="15" hidden="false" customHeight="true" outlineLevel="0" collapsed="false">
      <c r="A170" s="15" t="s">
        <v>77</v>
      </c>
      <c r="B170" s="15" t="n">
        <v>2024</v>
      </c>
      <c r="C170" s="15" t="s">
        <v>15</v>
      </c>
      <c r="D170" s="39" t="s">
        <v>373</v>
      </c>
      <c r="E170" s="15" t="n">
        <v>146</v>
      </c>
      <c r="F170" s="15" t="s">
        <v>187</v>
      </c>
      <c r="G170" s="15" t="s">
        <v>177</v>
      </c>
      <c r="H170" s="15" t="s">
        <v>178</v>
      </c>
      <c r="I170" s="24"/>
      <c r="J170" s="24"/>
      <c r="K170" s="17" t="n">
        <f aca="false">L168</f>
        <v>21177.6</v>
      </c>
      <c r="L170" s="17" t="n">
        <v>21156.4</v>
      </c>
      <c r="M170" s="17" t="n">
        <f aca="false">L170-K170</f>
        <v>-21.1999999999971</v>
      </c>
      <c r="N170" s="17" t="s">
        <v>351</v>
      </c>
      <c r="O170" s="15" t="s">
        <v>375</v>
      </c>
      <c r="P170" s="15" t="n">
        <v>207</v>
      </c>
      <c r="Q170" s="18"/>
      <c r="R170" s="25" t="str">
        <f aca="false">IF(NOT(ISNUMBER(I170)),"",IF(F170="Mindestprognose",I170,IF(ISNUMBER(J170),(I170+J170)/2,I170)))</f>
        <v/>
      </c>
      <c r="S170" s="25" t="str">
        <f aca="false">IF(OR(R170="",NOT(ISNUMBER(L170))),"",R170-L170)</f>
        <v/>
      </c>
      <c r="T170" s="19" t="str">
        <f aca="false">IF(OR(S170="",G170&lt;&gt;"absolut",NOT(ISNUMBER(L170)),L170=0),"",S170/ABS(L170))</f>
        <v/>
      </c>
      <c r="U170" s="19" t="str">
        <f aca="false">IF(T170="","",ABS(T170))</f>
        <v/>
      </c>
      <c r="V170" s="20" t="str">
        <f aca="false">IF(OR(F170="Punkt",NOT(ISNUMBER(L170))),"",IF(F170="Mindestprognose",IF(L170&gt;=I170,1,0),IF(AND(ISNUMBER(I170),ISNUMBER(J170),I170&lt;&gt;J170),IF(AND(L170&gt;=I170,L170&lt;=J170),1,0),"")))</f>
        <v/>
      </c>
      <c r="W170" s="18" t="s">
        <v>334</v>
      </c>
      <c r="X170" s="0" t="str">
        <f aca="false">IF(OR(F170="qualitativ",F170="fehlend",NOT(ISNUMBER(L170))),"nicht auswertbar",IF(F170="Punkt","Punktprognose",IF(AND(ISNUMBER(I170),ISNUMBER(J170),I170&lt;&gt;J170),IF(L170&lt;I170,"unterhalb",IF(L170&gt;J170,"oberhalb","innerhalb")),"nicht auswertbar")))</f>
        <v>nicht auswertbar</v>
      </c>
      <c r="Y170" s="25" t="str">
        <f aca="false">IF(AND(ISNUMBER(S170),OR(G170="Marge %",G170="Wachstumsrate %")),ABS(S170),"")</f>
        <v/>
      </c>
      <c r="Z170" s="0" t="str">
        <f aca="false">IFERROR(VLOOKUP(A170,Unternehmen!$A:$D,4,FALSE()),"")</f>
        <v>Bau</v>
      </c>
    </row>
    <row r="171" customFormat="false" ht="15" hidden="false" customHeight="true" outlineLevel="0" collapsed="false">
      <c r="A171" s="15" t="s">
        <v>77</v>
      </c>
      <c r="B171" s="15" t="n">
        <v>2024</v>
      </c>
      <c r="C171" s="15" t="s">
        <v>158</v>
      </c>
      <c r="D171" s="39" t="s">
        <v>373</v>
      </c>
      <c r="E171" s="15" t="n">
        <v>146</v>
      </c>
      <c r="F171" s="15" t="s">
        <v>183</v>
      </c>
      <c r="G171" s="15" t="s">
        <v>177</v>
      </c>
      <c r="H171" s="15" t="s">
        <v>178</v>
      </c>
      <c r="I171" s="17" t="n">
        <v>3000</v>
      </c>
      <c r="J171" s="17" t="n">
        <v>3300</v>
      </c>
      <c r="K171" s="17" t="n">
        <f aca="false">L169</f>
        <v>3022.5</v>
      </c>
      <c r="L171" s="17" t="n">
        <v>3204.1</v>
      </c>
      <c r="M171" s="17" t="n">
        <f aca="false">L171-K171</f>
        <v>181.6</v>
      </c>
      <c r="N171" s="22" t="s">
        <v>164</v>
      </c>
      <c r="O171" s="15" t="s">
        <v>375</v>
      </c>
      <c r="P171" s="15" t="n">
        <v>207</v>
      </c>
      <c r="Q171" s="18"/>
      <c r="R171" s="25" t="n">
        <f aca="false">IF(NOT(ISNUMBER(I171)),"",IF(F171="Mindestprognose",I171,IF(ISNUMBER(J171),(I171+J171)/2,I171)))</f>
        <v>3150</v>
      </c>
      <c r="S171" s="25" t="n">
        <f aca="false">IF(OR(R171="",NOT(ISNUMBER(L171))),"",R171-L171)</f>
        <v>-54.0999999999999</v>
      </c>
      <c r="T171" s="19" t="n">
        <f aca="false">IF(OR(S171="",G171&lt;&gt;"absolut",NOT(ISNUMBER(L171)),L171=0),"",S171/ABS(L171))</f>
        <v>-0.0168846165850004</v>
      </c>
      <c r="U171" s="19" t="n">
        <f aca="false">IF(T171="","",ABS(T171))</f>
        <v>0.0168846165850004</v>
      </c>
      <c r="V171" s="20" t="n">
        <f aca="false">IF(OR(F171="Punkt",NOT(ISNUMBER(L171))),"",IF(F171="Mindestprognose",IF(L171&gt;=I171,1,0),IF(AND(ISNUMBER(I171),ISNUMBER(J171),I171&lt;&gt;J171),IF(AND(L171&gt;=I171,L171&lt;=J171),1,0),"")))</f>
        <v>1</v>
      </c>
      <c r="W171" s="18"/>
      <c r="X171" s="0" t="str">
        <f aca="false">IF(OR(F171="qualitativ",F171="fehlend",NOT(ISNUMBER(L171))),"nicht auswertbar",IF(F171="Punkt","Punktprognose",IF(AND(ISNUMBER(I171),ISNUMBER(J171),I171&lt;&gt;J171),IF(L171&lt;I171,"unterhalb",IF(L171&gt;J171,"oberhalb","innerhalb")),"nicht auswertbar")))</f>
        <v>innerhalb</v>
      </c>
      <c r="Y171" s="25" t="str">
        <f aca="false">IF(AND(ISNUMBER(S171),OR(G171="Marge %",G171="Wachstumsrate %")),ABS(S171),"")</f>
        <v/>
      </c>
      <c r="Z171" s="0" t="str">
        <f aca="false">IFERROR(VLOOKUP(A171,Unternehmen!$A:$D,4,FALSE()),"")</f>
        <v>Bau</v>
      </c>
    </row>
    <row r="172" customFormat="false" ht="15" hidden="false" customHeight="true" outlineLevel="0" collapsed="false">
      <c r="A172" s="15" t="s">
        <v>81</v>
      </c>
      <c r="B172" s="15" t="n">
        <v>2020</v>
      </c>
      <c r="C172" s="15" t="s">
        <v>15</v>
      </c>
      <c r="D172" s="39" t="s">
        <v>376</v>
      </c>
      <c r="E172" s="15" t="n">
        <v>133</v>
      </c>
      <c r="F172" s="15" t="s">
        <v>153</v>
      </c>
      <c r="G172" s="15" t="s">
        <v>154</v>
      </c>
      <c r="H172" s="15" t="s">
        <v>155</v>
      </c>
      <c r="I172" s="16" t="n">
        <v>0</v>
      </c>
      <c r="J172" s="16" t="n">
        <v>0.02</v>
      </c>
      <c r="K172" s="16" t="n">
        <v>0</v>
      </c>
      <c r="L172" s="16" t="n">
        <v>-0.007</v>
      </c>
      <c r="M172" s="16" t="s">
        <v>242</v>
      </c>
      <c r="N172" s="17" t="s">
        <v>242</v>
      </c>
      <c r="O172" s="15" t="s">
        <v>377</v>
      </c>
      <c r="P172" s="15" t="n">
        <v>2</v>
      </c>
      <c r="Q172" s="18"/>
      <c r="R172" s="19" t="n">
        <f aca="false">IF(NOT(ISNUMBER(I172)),"",IF(F172="Mindestprognose",I172,IF(ISNUMBER(J172),(I172+J172)/2,I172)))</f>
        <v>0.01</v>
      </c>
      <c r="S172" s="19" t="n">
        <f aca="false">IF(OR(R172="",NOT(ISNUMBER(L172))),"",R172-L172)</f>
        <v>0.017</v>
      </c>
      <c r="T172" s="19" t="str">
        <f aca="false">IF(OR(S172="",G172&lt;&gt;"absolut",NOT(ISNUMBER(L172)),L172=0),"",S172/ABS(L172))</f>
        <v/>
      </c>
      <c r="U172" s="19" t="str">
        <f aca="false">IF(T172="","",ABS(T172))</f>
        <v/>
      </c>
      <c r="V172" s="20" t="n">
        <f aca="false">IF(OR(F172="Punkt",NOT(ISNUMBER(L172))),"",IF(F172="Mindestprognose",IF(L172&gt;=I172,1,0),IF(AND(ISNUMBER(I172),ISNUMBER(J172),I172&lt;&gt;J172),IF(AND(L172&gt;=I172,L172&lt;=J172),1,0),"")))</f>
        <v>0</v>
      </c>
      <c r="W172" s="18"/>
      <c r="X172" s="0" t="str">
        <f aca="false">IF(OR(F172="qualitativ",F172="fehlend",NOT(ISNUMBER(L172))),"nicht auswertbar",IF(F172="Punkt","Punktprognose",IF(AND(ISNUMBER(I172),ISNUMBER(J172),I172&lt;&gt;J172),IF(L172&lt;I172,"unterhalb",IF(L172&gt;J172,"oberhalb","innerhalb")),"nicht auswertbar")))</f>
        <v>unterhalb</v>
      </c>
      <c r="Y172" s="19" t="n">
        <f aca="false">IF(AND(ISNUMBER(S172),OR(G172="Marge %",G172="Wachstumsrate %")),ABS(S172),"")</f>
        <v>0.017</v>
      </c>
      <c r="Z172" s="0" t="str">
        <f aca="false">IFERROR(VLOOKUP(A172,Unternehmen!$A:$D,4,FALSE()),"")</f>
        <v>Konsumgueter</v>
      </c>
    </row>
    <row r="173" customFormat="false" ht="15" hidden="false" customHeight="true" outlineLevel="0" collapsed="false">
      <c r="A173" s="15" t="s">
        <v>81</v>
      </c>
      <c r="B173" s="15" t="n">
        <v>2020</v>
      </c>
      <c r="C173" s="15" t="s">
        <v>158</v>
      </c>
      <c r="D173" s="39" t="s">
        <v>376</v>
      </c>
      <c r="E173" s="15" t="n">
        <v>133</v>
      </c>
      <c r="F173" s="15" t="s">
        <v>176</v>
      </c>
      <c r="G173" s="15" t="s">
        <v>159</v>
      </c>
      <c r="H173" s="15" t="s">
        <v>285</v>
      </c>
      <c r="I173" s="16" t="n">
        <v>0.15</v>
      </c>
      <c r="J173" s="16" t="n">
        <v>0.15</v>
      </c>
      <c r="K173" s="16" t="n">
        <v>0.16</v>
      </c>
      <c r="L173" s="16" t="n">
        <v>0.134</v>
      </c>
      <c r="M173" s="16" t="s">
        <v>378</v>
      </c>
      <c r="N173" s="21" t="s">
        <v>379</v>
      </c>
      <c r="O173" s="15" t="s">
        <v>377</v>
      </c>
      <c r="P173" s="15" t="n">
        <v>2</v>
      </c>
      <c r="Q173" s="18"/>
      <c r="R173" s="19" t="n">
        <f aca="false">IF(NOT(ISNUMBER(I173)),"",IF(F173="Mindestprognose",I173,IF(ISNUMBER(J173),(I173+J173)/2,I173)))</f>
        <v>0.15</v>
      </c>
      <c r="S173" s="19" t="n">
        <f aca="false">IF(OR(R173="",NOT(ISNUMBER(L173))),"",R173-L173)</f>
        <v>0.016</v>
      </c>
      <c r="T173" s="19" t="str">
        <f aca="false">IF(OR(S173="",G173&lt;&gt;"absolut",NOT(ISNUMBER(L173)),L173=0),"",S173/ABS(L173))</f>
        <v/>
      </c>
      <c r="U173" s="19" t="str">
        <f aca="false">IF(T173="","",ABS(T173))</f>
        <v/>
      </c>
      <c r="V173" s="20" t="str">
        <f aca="false">IF(OR(F173="Punkt",NOT(ISNUMBER(L173))),"",IF(F173="Mindestprognose",IF(L173&gt;=I173,1,0),IF(AND(ISNUMBER(I173),ISNUMBER(J173),I173&lt;&gt;J173),IF(AND(L173&gt;=I173,L173&lt;=J173),1,0),"")))</f>
        <v/>
      </c>
      <c r="W173" s="18"/>
      <c r="X173" s="0" t="str">
        <f aca="false">IF(OR(F173="qualitativ",F173="fehlend",NOT(ISNUMBER(L173))),"nicht auswertbar",IF(F173="Punkt","Punktprognose",IF(AND(ISNUMBER(I173),ISNUMBER(J173),I173&lt;&gt;J173),IF(L173&lt;I173,"unterhalb",IF(L173&gt;J173,"oberhalb","innerhalb")),"nicht auswertbar")))</f>
        <v>Punktprognose</v>
      </c>
      <c r="Y173" s="19" t="n">
        <f aca="false">IF(AND(ISNUMBER(S173),OR(G173="Marge %",G173="Wachstumsrate %")),ABS(S173),"")</f>
        <v>0.016</v>
      </c>
      <c r="Z173" s="0" t="str">
        <f aca="false">IFERROR(VLOOKUP(A173,Unternehmen!$A:$D,4,FALSE()),"")</f>
        <v>Konsumgueter</v>
      </c>
    </row>
    <row r="174" customFormat="false" ht="15" hidden="false" customHeight="true" outlineLevel="0" collapsed="false">
      <c r="A174" s="15" t="s">
        <v>81</v>
      </c>
      <c r="B174" s="15" t="n">
        <v>2021</v>
      </c>
      <c r="C174" s="15" t="s">
        <v>15</v>
      </c>
      <c r="D174" s="15" t="s">
        <v>377</v>
      </c>
      <c r="E174" s="15" t="n">
        <v>167</v>
      </c>
      <c r="F174" s="15" t="s">
        <v>153</v>
      </c>
      <c r="G174" s="15" t="s">
        <v>154</v>
      </c>
      <c r="H174" s="15" t="s">
        <v>155</v>
      </c>
      <c r="I174" s="16" t="n">
        <v>0.02</v>
      </c>
      <c r="J174" s="16" t="n">
        <v>0.05</v>
      </c>
      <c r="K174" s="16" t="n">
        <f aca="false">L172</f>
        <v>-0.007</v>
      </c>
      <c r="L174" s="16" t="n">
        <v>0.078</v>
      </c>
      <c r="M174" s="16" t="s">
        <v>380</v>
      </c>
      <c r="N174" s="23" t="s">
        <v>174</v>
      </c>
      <c r="O174" s="15" t="s">
        <v>381</v>
      </c>
      <c r="P174" s="15" t="n">
        <v>2</v>
      </c>
      <c r="Q174" s="18"/>
      <c r="R174" s="19" t="n">
        <f aca="false">IF(NOT(ISNUMBER(I174)),"",IF(F174="Mindestprognose",I174,IF(ISNUMBER(J174),(I174+J174)/2,I174)))</f>
        <v>0.035</v>
      </c>
      <c r="S174" s="19" t="n">
        <f aca="false">IF(OR(R174="",NOT(ISNUMBER(L174))),"",R174-L174)</f>
        <v>-0.043</v>
      </c>
      <c r="T174" s="19" t="str">
        <f aca="false">IF(OR(S174="",G174&lt;&gt;"absolut",NOT(ISNUMBER(L174)),L174=0),"",S174/ABS(L174))</f>
        <v/>
      </c>
      <c r="U174" s="19" t="str">
        <f aca="false">IF(T174="","",ABS(T174))</f>
        <v/>
      </c>
      <c r="V174" s="20" t="n">
        <f aca="false">IF(OR(F174="Punkt",NOT(ISNUMBER(L174))),"",IF(F174="Mindestprognose",IF(L174&gt;=I174,1,0),IF(AND(ISNUMBER(I174),ISNUMBER(J174),I174&lt;&gt;J174),IF(AND(L174&gt;=I174,L174&lt;=J174),1,0),"")))</f>
        <v>0</v>
      </c>
      <c r="W174" s="18"/>
      <c r="X174" s="0" t="str">
        <f aca="false">IF(OR(F174="qualitativ",F174="fehlend",NOT(ISNUMBER(L174))),"nicht auswertbar",IF(F174="Punkt","Punktprognose",IF(AND(ISNUMBER(I174),ISNUMBER(J174),I174&lt;&gt;J174),IF(L174&lt;I174,"unterhalb",IF(L174&gt;J174,"oberhalb","innerhalb")),"nicht auswertbar")))</f>
        <v>oberhalb</v>
      </c>
      <c r="Y174" s="19" t="n">
        <f aca="false">IF(AND(ISNUMBER(S174),OR(G174="Marge %",G174="Wachstumsrate %")),ABS(S174),"")</f>
        <v>0.043</v>
      </c>
      <c r="Z174" s="0" t="str">
        <f aca="false">IFERROR(VLOOKUP(A174,Unternehmen!$A:$D,4,FALSE()),"")</f>
        <v>Konsumgueter</v>
      </c>
    </row>
    <row r="175" customFormat="false" ht="15" hidden="false" customHeight="true" outlineLevel="0" collapsed="false">
      <c r="A175" s="15" t="s">
        <v>81</v>
      </c>
      <c r="B175" s="15" t="n">
        <v>2021</v>
      </c>
      <c r="C175" s="15" t="s">
        <v>158</v>
      </c>
      <c r="D175" s="15" t="s">
        <v>377</v>
      </c>
      <c r="E175" s="15" t="n">
        <v>168</v>
      </c>
      <c r="F175" s="15" t="s">
        <v>153</v>
      </c>
      <c r="G175" s="15" t="s">
        <v>159</v>
      </c>
      <c r="H175" s="15" t="s">
        <v>285</v>
      </c>
      <c r="I175" s="16" t="n">
        <v>0.135</v>
      </c>
      <c r="J175" s="16" t="n">
        <v>0.145</v>
      </c>
      <c r="K175" s="16" t="n">
        <f aca="false">L173</f>
        <v>0.134</v>
      </c>
      <c r="L175" s="16" t="n">
        <v>0.134</v>
      </c>
      <c r="M175" s="16" t="s">
        <v>382</v>
      </c>
      <c r="N175" s="17" t="s">
        <v>383</v>
      </c>
      <c r="O175" s="15" t="s">
        <v>381</v>
      </c>
      <c r="P175" s="15" t="n">
        <v>2</v>
      </c>
      <c r="Q175" s="18"/>
      <c r="R175" s="19" t="n">
        <f aca="false">IF(NOT(ISNUMBER(I175)),"",IF(F175="Mindestprognose",I175,IF(ISNUMBER(J175),(I175+J175)/2,I175)))</f>
        <v>0.14</v>
      </c>
      <c r="S175" s="19" t="n">
        <f aca="false">IF(OR(R175="",NOT(ISNUMBER(L175))),"",R175-L175)</f>
        <v>0.00600000000000001</v>
      </c>
      <c r="T175" s="19" t="str">
        <f aca="false">IF(OR(S175="",G175&lt;&gt;"absolut",NOT(ISNUMBER(L175)),L175=0),"",S175/ABS(L175))</f>
        <v/>
      </c>
      <c r="U175" s="19" t="str">
        <f aca="false">IF(T175="","",ABS(T175))</f>
        <v/>
      </c>
      <c r="V175" s="20" t="n">
        <f aca="false">IF(OR(F175="Punkt",NOT(ISNUMBER(L175))),"",IF(F175="Mindestprognose",IF(L175&gt;=I175,1,0),IF(AND(ISNUMBER(I175),ISNUMBER(J175),I175&lt;&gt;J175),IF(AND(L175&gt;=I175,L175&lt;=J175),1,0),"")))</f>
        <v>0</v>
      </c>
      <c r="W175" s="18"/>
      <c r="X175" s="0" t="str">
        <f aca="false">IF(OR(F175="qualitativ",F175="fehlend",NOT(ISNUMBER(L175))),"nicht auswertbar",IF(F175="Punkt","Punktprognose",IF(AND(ISNUMBER(I175),ISNUMBER(J175),I175&lt;&gt;J175),IF(L175&lt;I175,"unterhalb",IF(L175&gt;J175,"oberhalb","innerhalb")),"nicht auswertbar")))</f>
        <v>unterhalb</v>
      </c>
      <c r="Y175" s="19" t="n">
        <f aca="false">IF(AND(ISNUMBER(S175),OR(G175="Marge %",G175="Wachstumsrate %")),ABS(S175),"")</f>
        <v>0.00600000000000001</v>
      </c>
      <c r="Z175" s="0" t="str">
        <f aca="false">IFERROR(VLOOKUP(A175,Unternehmen!$A:$D,4,FALSE()),"")</f>
        <v>Konsumgueter</v>
      </c>
    </row>
    <row r="176" customFormat="false" ht="15" hidden="false" customHeight="true" outlineLevel="0" collapsed="false">
      <c r="A176" s="15" t="s">
        <v>81</v>
      </c>
      <c r="B176" s="15" t="n">
        <v>2022</v>
      </c>
      <c r="C176" s="15" t="s">
        <v>15</v>
      </c>
      <c r="D176" s="15" t="s">
        <v>381</v>
      </c>
      <c r="E176" s="15" t="n">
        <v>172</v>
      </c>
      <c r="F176" s="15" t="s">
        <v>153</v>
      </c>
      <c r="G176" s="15" t="s">
        <v>154</v>
      </c>
      <c r="H176" s="15" t="s">
        <v>155</v>
      </c>
      <c r="I176" s="16" t="n">
        <v>0.02</v>
      </c>
      <c r="J176" s="16" t="n">
        <v>0.04</v>
      </c>
      <c r="K176" s="16" t="n">
        <f aca="false">L174</f>
        <v>0.078</v>
      </c>
      <c r="L176" s="16" t="n">
        <v>0.088</v>
      </c>
      <c r="M176" s="16" t="s">
        <v>384</v>
      </c>
      <c r="N176" s="23" t="s">
        <v>174</v>
      </c>
      <c r="O176" s="15" t="s">
        <v>385</v>
      </c>
      <c r="P176" s="15" t="n">
        <v>2</v>
      </c>
      <c r="Q176" s="18"/>
      <c r="R176" s="19" t="n">
        <f aca="false">IF(NOT(ISNUMBER(I176)),"",IF(F176="Mindestprognose",I176,IF(ISNUMBER(J176),(I176+J176)/2,I176)))</f>
        <v>0.03</v>
      </c>
      <c r="S176" s="19" t="n">
        <f aca="false">IF(OR(R176="",NOT(ISNUMBER(L176))),"",R176-L176)</f>
        <v>-0.058</v>
      </c>
      <c r="T176" s="19" t="str">
        <f aca="false">IF(OR(S176="",G176&lt;&gt;"absolut",NOT(ISNUMBER(L176)),L176=0),"",S176/ABS(L176))</f>
        <v/>
      </c>
      <c r="U176" s="19" t="str">
        <f aca="false">IF(T176="","",ABS(T176))</f>
        <v/>
      </c>
      <c r="V176" s="20" t="n">
        <f aca="false">IF(OR(F176="Punkt",NOT(ISNUMBER(L176))),"",IF(F176="Mindestprognose",IF(L176&gt;=I176,1,0),IF(AND(ISNUMBER(I176),ISNUMBER(J176),I176&lt;&gt;J176),IF(AND(L176&gt;=I176,L176&lt;=J176),1,0),"")))</f>
        <v>0</v>
      </c>
      <c r="W176" s="18"/>
      <c r="X176" s="0" t="str">
        <f aca="false">IF(OR(F176="qualitativ",F176="fehlend",NOT(ISNUMBER(L176))),"nicht auswertbar",IF(F176="Punkt","Punktprognose",IF(AND(ISNUMBER(I176),ISNUMBER(J176),I176&lt;&gt;J176),IF(L176&lt;I176,"unterhalb",IF(L176&gt;J176,"oberhalb","innerhalb")),"nicht auswertbar")))</f>
        <v>oberhalb</v>
      </c>
      <c r="Y176" s="19" t="n">
        <f aca="false">IF(AND(ISNUMBER(S176),OR(G176="Marge %",G176="Wachstumsrate %")),ABS(S176),"")</f>
        <v>0.058</v>
      </c>
      <c r="Z176" s="0" t="str">
        <f aca="false">IFERROR(VLOOKUP(A176,Unternehmen!$A:$D,4,FALSE()),"")</f>
        <v>Konsumgueter</v>
      </c>
    </row>
    <row r="177" customFormat="false" ht="15" hidden="false" customHeight="true" outlineLevel="0" collapsed="false">
      <c r="A177" s="15" t="s">
        <v>81</v>
      </c>
      <c r="B177" s="15" t="n">
        <v>2022</v>
      </c>
      <c r="C177" s="15" t="s">
        <v>158</v>
      </c>
      <c r="D177" s="15" t="s">
        <v>381</v>
      </c>
      <c r="E177" s="15" t="n">
        <v>173</v>
      </c>
      <c r="F177" s="15" t="s">
        <v>153</v>
      </c>
      <c r="G177" s="15" t="s">
        <v>159</v>
      </c>
      <c r="H177" s="15" t="s">
        <v>285</v>
      </c>
      <c r="I177" s="16" t="n">
        <v>0.115</v>
      </c>
      <c r="J177" s="16" t="n">
        <v>0.135</v>
      </c>
      <c r="K177" s="16" t="n">
        <f aca="false">L175</f>
        <v>0.134</v>
      </c>
      <c r="L177" s="16" t="n">
        <v>0.104</v>
      </c>
      <c r="M177" s="16" t="s">
        <v>173</v>
      </c>
      <c r="N177" s="21" t="s">
        <v>386</v>
      </c>
      <c r="O177" s="15" t="s">
        <v>385</v>
      </c>
      <c r="P177" s="15" t="n">
        <v>2</v>
      </c>
      <c r="Q177" s="18"/>
      <c r="R177" s="19" t="n">
        <f aca="false">IF(NOT(ISNUMBER(I177)),"",IF(F177="Mindestprognose",I177,IF(ISNUMBER(J177),(I177+J177)/2,I177)))</f>
        <v>0.125</v>
      </c>
      <c r="S177" s="19" t="n">
        <f aca="false">IF(OR(R177="",NOT(ISNUMBER(L177))),"",R177-L177)</f>
        <v>0.021</v>
      </c>
      <c r="T177" s="19" t="str">
        <f aca="false">IF(OR(S177="",G177&lt;&gt;"absolut",NOT(ISNUMBER(L177)),L177=0),"",S177/ABS(L177))</f>
        <v/>
      </c>
      <c r="U177" s="19" t="str">
        <f aca="false">IF(T177="","",ABS(T177))</f>
        <v/>
      </c>
      <c r="V177" s="20" t="n">
        <f aca="false">IF(OR(F177="Punkt",NOT(ISNUMBER(L177))),"",IF(F177="Mindestprognose",IF(L177&gt;=I177,1,0),IF(AND(ISNUMBER(I177),ISNUMBER(J177),I177&lt;&gt;J177),IF(AND(L177&gt;=I177,L177&lt;=J177),1,0),"")))</f>
        <v>0</v>
      </c>
      <c r="W177" s="18"/>
      <c r="X177" s="0" t="str">
        <f aca="false">IF(OR(F177="qualitativ",F177="fehlend",NOT(ISNUMBER(L177))),"nicht auswertbar",IF(F177="Punkt","Punktprognose",IF(AND(ISNUMBER(I177),ISNUMBER(J177),I177&lt;&gt;J177),IF(L177&lt;I177,"unterhalb",IF(L177&gt;J177,"oberhalb","innerhalb")),"nicht auswertbar")))</f>
        <v>unterhalb</v>
      </c>
      <c r="Y177" s="19" t="n">
        <f aca="false">IF(AND(ISNUMBER(S177),OR(G177="Marge %",G177="Wachstumsrate %")),ABS(S177),"")</f>
        <v>0.021</v>
      </c>
      <c r="Z177" s="0" t="str">
        <f aca="false">IFERROR(VLOOKUP(A177,Unternehmen!$A:$D,4,FALSE()),"")</f>
        <v>Konsumgueter</v>
      </c>
    </row>
    <row r="178" customFormat="false" ht="15" hidden="false" customHeight="true" outlineLevel="0" collapsed="false">
      <c r="A178" s="15" t="s">
        <v>81</v>
      </c>
      <c r="B178" s="15" t="n">
        <v>2023</v>
      </c>
      <c r="C178" s="15" t="s">
        <v>15</v>
      </c>
      <c r="D178" s="15" t="s">
        <v>385</v>
      </c>
      <c r="E178" s="15" t="n">
        <v>197</v>
      </c>
      <c r="F178" s="15" t="s">
        <v>153</v>
      </c>
      <c r="G178" s="15" t="s">
        <v>154</v>
      </c>
      <c r="H178" s="15" t="s">
        <v>155</v>
      </c>
      <c r="I178" s="16" t="n">
        <v>0.01</v>
      </c>
      <c r="J178" s="16" t="n">
        <v>0.03</v>
      </c>
      <c r="K178" s="16" t="n">
        <f aca="false">L176</f>
        <v>0.088</v>
      </c>
      <c r="L178" s="16" t="n">
        <v>0.042</v>
      </c>
      <c r="M178" s="16" t="s">
        <v>387</v>
      </c>
      <c r="N178" s="23" t="s">
        <v>174</v>
      </c>
      <c r="O178" s="15" t="s">
        <v>388</v>
      </c>
      <c r="P178" s="15" t="n">
        <v>1</v>
      </c>
      <c r="Q178" s="18"/>
      <c r="R178" s="19" t="n">
        <f aca="false">IF(NOT(ISNUMBER(I178)),"",IF(F178="Mindestprognose",I178,IF(ISNUMBER(J178),(I178+J178)/2,I178)))</f>
        <v>0.02</v>
      </c>
      <c r="S178" s="19" t="n">
        <f aca="false">IF(OR(R178="",NOT(ISNUMBER(L178))),"",R178-L178)</f>
        <v>-0.022</v>
      </c>
      <c r="T178" s="19" t="str">
        <f aca="false">IF(OR(S178="",G178&lt;&gt;"absolut",NOT(ISNUMBER(L178)),L178=0),"",S178/ABS(L178))</f>
        <v/>
      </c>
      <c r="U178" s="19" t="str">
        <f aca="false">IF(T178="","",ABS(T178))</f>
        <v/>
      </c>
      <c r="V178" s="20" t="n">
        <f aca="false">IF(OR(F178="Punkt",NOT(ISNUMBER(L178))),"",IF(F178="Mindestprognose",IF(L178&gt;=I178,1,0),IF(AND(ISNUMBER(I178),ISNUMBER(J178),I178&lt;&gt;J178),IF(AND(L178&gt;=I178,L178&lt;=J178),1,0),"")))</f>
        <v>0</v>
      </c>
      <c r="W178" s="18"/>
      <c r="X178" s="0" t="str">
        <f aca="false">IF(OR(F178="qualitativ",F178="fehlend",NOT(ISNUMBER(L178))),"nicht auswertbar",IF(F178="Punkt","Punktprognose",IF(AND(ISNUMBER(I178),ISNUMBER(J178),I178&lt;&gt;J178),IF(L178&lt;I178,"unterhalb",IF(L178&gt;J178,"oberhalb","innerhalb")),"nicht auswertbar")))</f>
        <v>oberhalb</v>
      </c>
      <c r="Y178" s="19" t="n">
        <f aca="false">IF(AND(ISNUMBER(S178),OR(G178="Marge %",G178="Wachstumsrate %")),ABS(S178),"")</f>
        <v>0.022</v>
      </c>
      <c r="Z178" s="0" t="str">
        <f aca="false">IFERROR(VLOOKUP(A178,Unternehmen!$A:$D,4,FALSE()),"")</f>
        <v>Konsumgueter</v>
      </c>
    </row>
    <row r="179" customFormat="false" ht="15" hidden="false" customHeight="true" outlineLevel="0" collapsed="false">
      <c r="A179" s="15" t="s">
        <v>81</v>
      </c>
      <c r="B179" s="15" t="n">
        <v>2023</v>
      </c>
      <c r="C179" s="15" t="s">
        <v>158</v>
      </c>
      <c r="D179" s="15" t="s">
        <v>385</v>
      </c>
      <c r="E179" s="15" t="n">
        <v>198</v>
      </c>
      <c r="F179" s="15" t="s">
        <v>153</v>
      </c>
      <c r="G179" s="15" t="s">
        <v>159</v>
      </c>
      <c r="H179" s="15" t="s">
        <v>285</v>
      </c>
      <c r="I179" s="16" t="n">
        <v>0.1</v>
      </c>
      <c r="J179" s="16" t="n">
        <v>0.12</v>
      </c>
      <c r="K179" s="16" t="n">
        <f aca="false">L177</f>
        <v>0.104</v>
      </c>
      <c r="L179" s="16" t="n">
        <v>0.119</v>
      </c>
      <c r="M179" s="16" t="s">
        <v>293</v>
      </c>
      <c r="N179" s="22" t="s">
        <v>164</v>
      </c>
      <c r="O179" s="15" t="s">
        <v>388</v>
      </c>
      <c r="P179" s="15" t="n">
        <v>1</v>
      </c>
      <c r="Q179" s="18"/>
      <c r="R179" s="19" t="n">
        <f aca="false">IF(NOT(ISNUMBER(I179)),"",IF(F179="Mindestprognose",I179,IF(ISNUMBER(J179),(I179+J179)/2,I179)))</f>
        <v>0.11</v>
      </c>
      <c r="S179" s="19" t="n">
        <f aca="false">IF(OR(R179="",NOT(ISNUMBER(L179))),"",R179-L179)</f>
        <v>-0.00899999999999999</v>
      </c>
      <c r="T179" s="19" t="str">
        <f aca="false">IF(OR(S179="",G179&lt;&gt;"absolut",NOT(ISNUMBER(L179)),L179=0),"",S179/ABS(L179))</f>
        <v/>
      </c>
      <c r="U179" s="19" t="str">
        <f aca="false">IF(T179="","",ABS(T179))</f>
        <v/>
      </c>
      <c r="V179" s="20" t="n">
        <f aca="false">IF(OR(F179="Punkt",NOT(ISNUMBER(L179))),"",IF(F179="Mindestprognose",IF(L179&gt;=I179,1,0),IF(AND(ISNUMBER(I179),ISNUMBER(J179),I179&lt;&gt;J179),IF(AND(L179&gt;=I179,L179&lt;=J179),1,0),"")))</f>
        <v>1</v>
      </c>
      <c r="W179" s="18"/>
      <c r="X179" s="0" t="str">
        <f aca="false">IF(OR(F179="qualitativ",F179="fehlend",NOT(ISNUMBER(L179))),"nicht auswertbar",IF(F179="Punkt","Punktprognose",IF(AND(ISNUMBER(I179),ISNUMBER(J179),I179&lt;&gt;J179),IF(L179&lt;I179,"unterhalb",IF(L179&gt;J179,"oberhalb","innerhalb")),"nicht auswertbar")))</f>
        <v>innerhalb</v>
      </c>
      <c r="Y179" s="19" t="n">
        <f aca="false">IF(AND(ISNUMBER(S179),OR(G179="Marge %",G179="Wachstumsrate %")),ABS(S179),"")</f>
        <v>0.00899999999999999</v>
      </c>
      <c r="Z179" s="0" t="str">
        <f aca="false">IFERROR(VLOOKUP(A179,Unternehmen!$A:$D,4,FALSE()),"")</f>
        <v>Konsumgueter</v>
      </c>
    </row>
    <row r="180" customFormat="false" ht="15" hidden="false" customHeight="true" outlineLevel="0" collapsed="false">
      <c r="A180" s="15" t="s">
        <v>81</v>
      </c>
      <c r="B180" s="15" t="n">
        <v>2024</v>
      </c>
      <c r="C180" s="15" t="s">
        <v>15</v>
      </c>
      <c r="D180" s="15" t="s">
        <v>388</v>
      </c>
      <c r="E180" s="15" t="n">
        <v>207</v>
      </c>
      <c r="F180" s="15" t="s">
        <v>153</v>
      </c>
      <c r="G180" s="15" t="s">
        <v>154</v>
      </c>
      <c r="H180" s="15" t="s">
        <v>155</v>
      </c>
      <c r="I180" s="16" t="n">
        <v>0.02</v>
      </c>
      <c r="J180" s="16" t="n">
        <v>0.04</v>
      </c>
      <c r="K180" s="16" t="n">
        <f aca="false">L178</f>
        <v>0.042</v>
      </c>
      <c r="L180" s="16" t="n">
        <v>0.026</v>
      </c>
      <c r="M180" s="16" t="s">
        <v>379</v>
      </c>
      <c r="N180" s="22" t="s">
        <v>164</v>
      </c>
      <c r="O180" s="15" t="s">
        <v>389</v>
      </c>
      <c r="P180" s="15" t="n">
        <v>1</v>
      </c>
      <c r="Q180" s="18"/>
      <c r="R180" s="19" t="n">
        <f aca="false">IF(NOT(ISNUMBER(I180)),"",IF(F180="Mindestprognose",I180,IF(ISNUMBER(J180),(I180+J180)/2,I180)))</f>
        <v>0.03</v>
      </c>
      <c r="S180" s="19" t="n">
        <f aca="false">IF(OR(R180="",NOT(ISNUMBER(L180))),"",R180-L180)</f>
        <v>0.004</v>
      </c>
      <c r="T180" s="19" t="str">
        <f aca="false">IF(OR(S180="",G180&lt;&gt;"absolut",NOT(ISNUMBER(L180)),L180=0),"",S180/ABS(L180))</f>
        <v/>
      </c>
      <c r="U180" s="19" t="str">
        <f aca="false">IF(T180="","",ABS(T180))</f>
        <v/>
      </c>
      <c r="V180" s="20" t="n">
        <f aca="false">IF(OR(F180="Punkt",NOT(ISNUMBER(L180))),"",IF(F180="Mindestprognose",IF(L180&gt;=I180,1,0),IF(AND(ISNUMBER(I180),ISNUMBER(J180),I180&lt;&gt;J180),IF(AND(L180&gt;=I180,L180&lt;=J180),1,0),"")))</f>
        <v>1</v>
      </c>
      <c r="W180" s="18"/>
      <c r="X180" s="0" t="str">
        <f aca="false">IF(OR(F180="qualitativ",F180="fehlend",NOT(ISNUMBER(L180))),"nicht auswertbar",IF(F180="Punkt","Punktprognose",IF(AND(ISNUMBER(I180),ISNUMBER(J180),I180&lt;&gt;J180),IF(L180&lt;I180,"unterhalb",IF(L180&gt;J180,"oberhalb","innerhalb")),"nicht auswertbar")))</f>
        <v>innerhalb</v>
      </c>
      <c r="Y180" s="19" t="n">
        <f aca="false">IF(AND(ISNUMBER(S180),OR(G180="Marge %",G180="Wachstumsrate %")),ABS(S180),"")</f>
        <v>0.004</v>
      </c>
      <c r="Z180" s="0" t="str">
        <f aca="false">IFERROR(VLOOKUP(A180,Unternehmen!$A:$D,4,FALSE()),"")</f>
        <v>Konsumgueter</v>
      </c>
    </row>
    <row r="181" customFormat="false" ht="15" hidden="false" customHeight="true" outlineLevel="0" collapsed="false">
      <c r="A181" s="15" t="s">
        <v>81</v>
      </c>
      <c r="B181" s="15" t="n">
        <v>2024</v>
      </c>
      <c r="C181" s="15" t="s">
        <v>158</v>
      </c>
      <c r="D181" s="15" t="s">
        <v>388</v>
      </c>
      <c r="E181" s="15" t="n">
        <v>207</v>
      </c>
      <c r="F181" s="15" t="s">
        <v>153</v>
      </c>
      <c r="G181" s="15" t="s">
        <v>159</v>
      </c>
      <c r="H181" s="15" t="s">
        <v>285</v>
      </c>
      <c r="I181" s="16" t="n">
        <v>0.12</v>
      </c>
      <c r="J181" s="16" t="n">
        <v>0.135</v>
      </c>
      <c r="K181" s="16" t="n">
        <f aca="false">L179</f>
        <v>0.119</v>
      </c>
      <c r="L181" s="16" t="n">
        <v>0.143</v>
      </c>
      <c r="M181" s="16" t="s">
        <v>390</v>
      </c>
      <c r="N181" s="23" t="s">
        <v>174</v>
      </c>
      <c r="O181" s="15" t="s">
        <v>389</v>
      </c>
      <c r="P181" s="15" t="n">
        <v>1</v>
      </c>
      <c r="Q181" s="18"/>
      <c r="R181" s="19" t="n">
        <f aca="false">IF(NOT(ISNUMBER(I181)),"",IF(F181="Mindestprognose",I181,IF(ISNUMBER(J181),(I181+J181)/2,I181)))</f>
        <v>0.1275</v>
      </c>
      <c r="S181" s="19" t="n">
        <f aca="false">IF(OR(R181="",NOT(ISNUMBER(L181))),"",R181-L181)</f>
        <v>-0.0155</v>
      </c>
      <c r="T181" s="19" t="str">
        <f aca="false">IF(OR(S181="",G181&lt;&gt;"absolut",NOT(ISNUMBER(L181)),L181=0),"",S181/ABS(L181))</f>
        <v/>
      </c>
      <c r="U181" s="19" t="str">
        <f aca="false">IF(T181="","",ABS(T181))</f>
        <v/>
      </c>
      <c r="V181" s="20" t="n">
        <f aca="false">IF(OR(F181="Punkt",NOT(ISNUMBER(L181))),"",IF(F181="Mindestprognose",IF(L181&gt;=I181,1,0),IF(AND(ISNUMBER(I181),ISNUMBER(J181),I181&lt;&gt;J181),IF(AND(L181&gt;=I181,L181&lt;=J181),1,0),"")))</f>
        <v>0</v>
      </c>
      <c r="W181" s="18"/>
      <c r="X181" s="0" t="str">
        <f aca="false">IF(OR(F181="qualitativ",F181="fehlend",NOT(ISNUMBER(L181))),"nicht auswertbar",IF(F181="Punkt","Punktprognose",IF(AND(ISNUMBER(I181),ISNUMBER(J181),I181&lt;&gt;J181),IF(L181&lt;I181,"unterhalb",IF(L181&gt;J181,"oberhalb","innerhalb")),"nicht auswertbar")))</f>
        <v>oberhalb</v>
      </c>
      <c r="Y181" s="19" t="n">
        <f aca="false">IF(AND(ISNUMBER(S181),OR(G181="Marge %",G181="Wachstumsrate %")),ABS(S181),"")</f>
        <v>0.0155</v>
      </c>
      <c r="Z181" s="0" t="str">
        <f aca="false">IFERROR(VLOOKUP(A181,Unternehmen!$A:$D,4,FALSE()),"")</f>
        <v>Konsumgueter</v>
      </c>
    </row>
    <row r="182" customFormat="false" ht="15" hidden="false" customHeight="true" outlineLevel="0" collapsed="false">
      <c r="A182" s="15" t="s">
        <v>85</v>
      </c>
      <c r="B182" s="15" t="n">
        <v>2020</v>
      </c>
      <c r="C182" s="15" t="s">
        <v>15</v>
      </c>
      <c r="D182" s="15" t="s">
        <v>391</v>
      </c>
      <c r="E182" s="15" t="n">
        <v>82</v>
      </c>
      <c r="F182" s="15" t="s">
        <v>187</v>
      </c>
      <c r="G182" s="15" t="s">
        <v>177</v>
      </c>
      <c r="H182" s="15" t="s">
        <v>178</v>
      </c>
      <c r="I182" s="24"/>
      <c r="J182" s="24"/>
      <c r="K182" s="17" t="n">
        <v>8029</v>
      </c>
      <c r="L182" s="17" t="n">
        <v>8567</v>
      </c>
      <c r="M182" s="17" t="n">
        <f aca="false">L182-K182</f>
        <v>538</v>
      </c>
      <c r="N182" s="22" t="s">
        <v>164</v>
      </c>
      <c r="O182" s="15" t="s">
        <v>392</v>
      </c>
      <c r="P182" s="15" t="n">
        <v>2</v>
      </c>
      <c r="Q182" s="29" t="s">
        <v>393</v>
      </c>
      <c r="R182" s="25" t="str">
        <f aca="false">IF(NOT(ISNUMBER(I182)),"",IF(F182="Mindestprognose",I182,IF(ISNUMBER(J182),(I182+J182)/2,I182)))</f>
        <v/>
      </c>
      <c r="S182" s="25" t="str">
        <f aca="false">IF(OR(R182="",NOT(ISNUMBER(L182))),"",R182-L182)</f>
        <v/>
      </c>
      <c r="T182" s="19" t="str">
        <f aca="false">IF(OR(S182="",G182&lt;&gt;"absolut",NOT(ISNUMBER(L182)),L182=0),"",S182/ABS(L182))</f>
        <v/>
      </c>
      <c r="U182" s="19" t="str">
        <f aca="false">IF(T182="","",ABS(T182))</f>
        <v/>
      </c>
      <c r="V182" s="20" t="str">
        <f aca="false">IF(OR(F182="Punkt",NOT(ISNUMBER(L182))),"",IF(F182="Mindestprognose",IF(L182&gt;=I182,1,0),IF(AND(ISNUMBER(I182),ISNUMBER(J182),I182&lt;&gt;J182),IF(AND(L182&gt;=I182,L182&lt;=J182),1,0),"")))</f>
        <v/>
      </c>
      <c r="W182" s="18" t="s">
        <v>394</v>
      </c>
      <c r="X182" s="0" t="str">
        <f aca="false">IF(OR(F182="qualitativ",F182="fehlend",NOT(ISNUMBER(L182))),"nicht auswertbar",IF(F182="Punkt","Punktprognose",IF(AND(ISNUMBER(I182),ISNUMBER(J182),I182&lt;&gt;J182),IF(L182&lt;I182,"unterhalb",IF(L182&gt;J182,"oberhalb","innerhalb")),"nicht auswertbar")))</f>
        <v>nicht auswertbar</v>
      </c>
      <c r="Y182" s="25" t="str">
        <f aca="false">IF(AND(ISNUMBER(S182),OR(G182="Marge %",G182="Wachstumsrate %")),ABS(S182),"")</f>
        <v/>
      </c>
      <c r="Z182" s="0" t="str">
        <f aca="false">IFERROR(VLOOKUP(A182,Unternehmen!$A:$D,4,FALSE()),"")</f>
        <v>Technologie</v>
      </c>
    </row>
    <row r="183" customFormat="false" ht="15" hidden="false" customHeight="true" outlineLevel="0" collapsed="false">
      <c r="A183" s="15" t="s">
        <v>85</v>
      </c>
      <c r="B183" s="15" t="n">
        <v>2020</v>
      </c>
      <c r="C183" s="15" t="s">
        <v>158</v>
      </c>
      <c r="D183" s="15" t="s">
        <v>391</v>
      </c>
      <c r="E183" s="15" t="n">
        <v>82</v>
      </c>
      <c r="F183" s="15" t="s">
        <v>187</v>
      </c>
      <c r="G183" s="15" t="s">
        <v>159</v>
      </c>
      <c r="H183" s="15" t="s">
        <v>160</v>
      </c>
      <c r="I183" s="24"/>
      <c r="J183" s="24"/>
      <c r="K183" s="16" t="n">
        <v>0.164</v>
      </c>
      <c r="L183" s="16" t="n">
        <v>0.137</v>
      </c>
      <c r="M183" s="16" t="s">
        <v>395</v>
      </c>
      <c r="N183" s="17" t="s">
        <v>396</v>
      </c>
      <c r="O183" s="15" t="s">
        <v>392</v>
      </c>
      <c r="P183" s="15" t="n">
        <v>2</v>
      </c>
      <c r="Q183" s="18"/>
      <c r="R183" s="19" t="str">
        <f aca="false">IF(NOT(ISNUMBER(I183)),"",IF(F183="Mindestprognose",I183,IF(ISNUMBER(J183),(I183+J183)/2,I183)))</f>
        <v/>
      </c>
      <c r="S183" s="19" t="str">
        <f aca="false">IF(OR(R183="",NOT(ISNUMBER(L183))),"",R183-L183)</f>
        <v/>
      </c>
      <c r="T183" s="19" t="str">
        <f aca="false">IF(OR(S183="",G183&lt;&gt;"absolut",NOT(ISNUMBER(L183)),L183=0),"",S183/ABS(L183))</f>
        <v/>
      </c>
      <c r="U183" s="19" t="str">
        <f aca="false">IF(T183="","",ABS(T183))</f>
        <v/>
      </c>
      <c r="V183" s="20" t="str">
        <f aca="false">IF(OR(F183="Punkt",NOT(ISNUMBER(L183))),"",IF(F183="Mindestprognose",IF(L183&gt;=I183,1,0),IF(AND(ISNUMBER(I183),ISNUMBER(J183),I183&lt;&gt;J183),IF(AND(L183&gt;=I183,L183&lt;=J183),1,0),"")))</f>
        <v/>
      </c>
      <c r="W183" s="18" t="s">
        <v>284</v>
      </c>
      <c r="X183" s="0" t="str">
        <f aca="false">IF(OR(F183="qualitativ",F183="fehlend",NOT(ISNUMBER(L183))),"nicht auswertbar",IF(F183="Punkt","Punktprognose",IF(AND(ISNUMBER(I183),ISNUMBER(J183),I183&lt;&gt;J183),IF(L183&lt;I183,"unterhalb",IF(L183&gt;J183,"oberhalb","innerhalb")),"nicht auswertbar")))</f>
        <v>nicht auswertbar</v>
      </c>
      <c r="Y183" s="19" t="str">
        <f aca="false">IF(AND(ISNUMBER(S183),OR(G183="Marge %",G183="Wachstumsrate %")),ABS(S183),"")</f>
        <v/>
      </c>
      <c r="Z183" s="0" t="str">
        <f aca="false">IFERROR(VLOOKUP(A183,Unternehmen!$A:$D,4,FALSE()),"")</f>
        <v>Technologie</v>
      </c>
    </row>
    <row r="184" customFormat="false" ht="15" hidden="false" customHeight="true" outlineLevel="0" collapsed="false">
      <c r="A184" s="15" t="s">
        <v>85</v>
      </c>
      <c r="B184" s="15" t="n">
        <v>2021</v>
      </c>
      <c r="C184" s="15" t="s">
        <v>15</v>
      </c>
      <c r="D184" s="15" t="s">
        <v>392</v>
      </c>
      <c r="E184" s="15" t="n">
        <v>109</v>
      </c>
      <c r="F184" s="15" t="s">
        <v>183</v>
      </c>
      <c r="G184" s="15" t="s">
        <v>177</v>
      </c>
      <c r="H184" s="15" t="s">
        <v>178</v>
      </c>
      <c r="I184" s="17" t="n">
        <v>9975</v>
      </c>
      <c r="J184" s="17" t="n">
        <v>11025</v>
      </c>
      <c r="K184" s="17" t="n">
        <f aca="false">L182</f>
        <v>8567</v>
      </c>
      <c r="L184" s="17" t="n">
        <v>11060</v>
      </c>
      <c r="M184" s="17" t="n">
        <f aca="false">L184-K184</f>
        <v>2493</v>
      </c>
      <c r="N184" s="23" t="s">
        <v>174</v>
      </c>
      <c r="O184" s="15" t="s">
        <v>397</v>
      </c>
      <c r="P184" s="15" t="n">
        <v>2</v>
      </c>
      <c r="Q184" s="18"/>
      <c r="R184" s="25" t="n">
        <f aca="false">IF(NOT(ISNUMBER(I184)),"",IF(F184="Mindestprognose",I184,IF(ISNUMBER(J184),(I184+J184)/2,I184)))</f>
        <v>10500</v>
      </c>
      <c r="S184" s="25" t="n">
        <f aca="false">IF(OR(R184="",NOT(ISNUMBER(L184))),"",R184-L184)</f>
        <v>-560</v>
      </c>
      <c r="T184" s="19" t="n">
        <f aca="false">IF(OR(S184="",G184&lt;&gt;"absolut",NOT(ISNUMBER(L184)),L184=0),"",S184/ABS(L184))</f>
        <v>-0.0506329113924051</v>
      </c>
      <c r="U184" s="19" t="n">
        <f aca="false">IF(T184="","",ABS(T184))</f>
        <v>0.0506329113924051</v>
      </c>
      <c r="V184" s="20" t="n">
        <f aca="false">IF(OR(F184="Punkt",NOT(ISNUMBER(L184))),"",IF(F184="Mindestprognose",IF(L184&gt;=I184,1,0),IF(AND(ISNUMBER(I184),ISNUMBER(J184),I184&lt;&gt;J184),IF(AND(L184&gt;=I184,L184&lt;=J184),1,0),"")))</f>
        <v>0</v>
      </c>
      <c r="W184" s="18"/>
      <c r="X184" s="0" t="str">
        <f aca="false">IF(OR(F184="qualitativ",F184="fehlend",NOT(ISNUMBER(L184))),"nicht auswertbar",IF(F184="Punkt","Punktprognose",IF(AND(ISNUMBER(I184),ISNUMBER(J184),I184&lt;&gt;J184),IF(L184&lt;I184,"unterhalb",IF(L184&gt;J184,"oberhalb","innerhalb")),"nicht auswertbar")))</f>
        <v>oberhalb</v>
      </c>
      <c r="Y184" s="25" t="str">
        <f aca="false">IF(AND(ISNUMBER(S184),OR(G184="Marge %",G184="Wachstumsrate %")),ABS(S184),"")</f>
        <v/>
      </c>
      <c r="Z184" s="0" t="str">
        <f aca="false">IFERROR(VLOOKUP(A184,Unternehmen!$A:$D,4,FALSE()),"")</f>
        <v>Technologie</v>
      </c>
    </row>
    <row r="185" customFormat="false" ht="15" hidden="false" customHeight="true" outlineLevel="0" collapsed="false">
      <c r="A185" s="15" t="s">
        <v>85</v>
      </c>
      <c r="B185" s="15" t="n">
        <v>2021</v>
      </c>
      <c r="C185" s="15" t="s">
        <v>158</v>
      </c>
      <c r="D185" s="15" t="s">
        <v>392</v>
      </c>
      <c r="E185" s="15" t="n">
        <v>109</v>
      </c>
      <c r="F185" s="15" t="s">
        <v>176</v>
      </c>
      <c r="G185" s="15" t="s">
        <v>159</v>
      </c>
      <c r="H185" s="15" t="s">
        <v>160</v>
      </c>
      <c r="I185" s="16" t="n">
        <v>0.165</v>
      </c>
      <c r="J185" s="16" t="n">
        <v>0.165</v>
      </c>
      <c r="K185" s="16" t="n">
        <f aca="false">L183</f>
        <v>0.137</v>
      </c>
      <c r="L185" s="16" t="n">
        <v>0.187</v>
      </c>
      <c r="M185" s="16" t="s">
        <v>398</v>
      </c>
      <c r="N185" s="23" t="s">
        <v>174</v>
      </c>
      <c r="O185" s="15" t="s">
        <v>397</v>
      </c>
      <c r="P185" s="15" t="n">
        <v>2</v>
      </c>
      <c r="Q185" s="18"/>
      <c r="R185" s="19" t="n">
        <f aca="false">IF(NOT(ISNUMBER(I185)),"",IF(F185="Mindestprognose",I185,IF(ISNUMBER(J185),(I185+J185)/2,I185)))</f>
        <v>0.165</v>
      </c>
      <c r="S185" s="19" t="n">
        <f aca="false">IF(OR(R185="",NOT(ISNUMBER(L185))),"",R185-L185)</f>
        <v>-0.022</v>
      </c>
      <c r="T185" s="19" t="str">
        <f aca="false">IF(OR(S185="",G185&lt;&gt;"absolut",NOT(ISNUMBER(L185)),L185=0),"",S185/ABS(L185))</f>
        <v/>
      </c>
      <c r="U185" s="19" t="str">
        <f aca="false">IF(T185="","",ABS(T185))</f>
        <v/>
      </c>
      <c r="V185" s="20" t="str">
        <f aca="false">IF(OR(F185="Punkt",NOT(ISNUMBER(L185))),"",IF(F185="Mindestprognose",IF(L185&gt;=I185,1,0),IF(AND(ISNUMBER(I185),ISNUMBER(J185),I185&lt;&gt;J185),IF(AND(L185&gt;=I185,L185&lt;=J185),1,0),"")))</f>
        <v/>
      </c>
      <c r="W185" s="18"/>
      <c r="X185" s="0" t="str">
        <f aca="false">IF(OR(F185="qualitativ",F185="fehlend",NOT(ISNUMBER(L185))),"nicht auswertbar",IF(F185="Punkt","Punktprognose",IF(AND(ISNUMBER(I185),ISNUMBER(J185),I185&lt;&gt;J185),IF(L185&lt;I185,"unterhalb",IF(L185&gt;J185,"oberhalb","innerhalb")),"nicht auswertbar")))</f>
        <v>Punktprognose</v>
      </c>
      <c r="Y185" s="19" t="n">
        <f aca="false">IF(AND(ISNUMBER(S185),OR(G185="Marge %",G185="Wachstumsrate %")),ABS(S185),"")</f>
        <v>0.022</v>
      </c>
      <c r="Z185" s="0" t="str">
        <f aca="false">IFERROR(VLOOKUP(A185,Unternehmen!$A:$D,4,FALSE()),"")</f>
        <v>Technologie</v>
      </c>
    </row>
    <row r="186" customFormat="false" ht="15" hidden="false" customHeight="true" outlineLevel="0" collapsed="false">
      <c r="A186" s="15" t="s">
        <v>85</v>
      </c>
      <c r="B186" s="15" t="n">
        <v>2022</v>
      </c>
      <c r="C186" s="15" t="s">
        <v>15</v>
      </c>
      <c r="D186" s="15" t="s">
        <v>397</v>
      </c>
      <c r="E186" s="15" t="n">
        <v>111</v>
      </c>
      <c r="F186" s="15" t="s">
        <v>183</v>
      </c>
      <c r="G186" s="15" t="s">
        <v>177</v>
      </c>
      <c r="H186" s="15" t="s">
        <v>178</v>
      </c>
      <c r="I186" s="17" t="n">
        <v>12200</v>
      </c>
      <c r="J186" s="17" t="n">
        <v>13200</v>
      </c>
      <c r="K186" s="17" t="n">
        <f aca="false">L184</f>
        <v>11060</v>
      </c>
      <c r="L186" s="17" t="n">
        <v>14218</v>
      </c>
      <c r="M186" s="17" t="n">
        <f aca="false">L186-K186</f>
        <v>3158</v>
      </c>
      <c r="N186" s="23" t="s">
        <v>174</v>
      </c>
      <c r="O186" s="15" t="s">
        <v>399</v>
      </c>
      <c r="P186" s="15" t="n">
        <v>2</v>
      </c>
      <c r="Q186" s="18"/>
      <c r="R186" s="25" t="n">
        <f aca="false">IF(NOT(ISNUMBER(I186)),"",IF(F186="Mindestprognose",I186,IF(ISNUMBER(J186),(I186+J186)/2,I186)))</f>
        <v>12700</v>
      </c>
      <c r="S186" s="25" t="n">
        <f aca="false">IF(OR(R186="",NOT(ISNUMBER(L186))),"",R186-L186)</f>
        <v>-1518</v>
      </c>
      <c r="T186" s="19" t="n">
        <f aca="false">IF(OR(S186="",G186&lt;&gt;"absolut",NOT(ISNUMBER(L186)),L186=0),"",S186/ABS(L186))</f>
        <v>-0.106766071177381</v>
      </c>
      <c r="U186" s="19" t="n">
        <f aca="false">IF(T186="","",ABS(T186))</f>
        <v>0.106766071177381</v>
      </c>
      <c r="V186" s="20" t="n">
        <f aca="false">IF(OR(F186="Punkt",NOT(ISNUMBER(L186))),"",IF(F186="Mindestprognose",IF(L186&gt;=I186,1,0),IF(AND(ISNUMBER(I186),ISNUMBER(J186),I186&lt;&gt;J186),IF(AND(L186&gt;=I186,L186&lt;=J186),1,0),"")))</f>
        <v>0</v>
      </c>
      <c r="W186" s="18"/>
      <c r="X186" s="0" t="str">
        <f aca="false">IF(OR(F186="qualitativ",F186="fehlend",NOT(ISNUMBER(L186))),"nicht auswertbar",IF(F186="Punkt","Punktprognose",IF(AND(ISNUMBER(I186),ISNUMBER(J186),I186&lt;&gt;J186),IF(L186&lt;I186,"unterhalb",IF(L186&gt;J186,"oberhalb","innerhalb")),"nicht auswertbar")))</f>
        <v>oberhalb</v>
      </c>
      <c r="Y186" s="25" t="str">
        <f aca="false">IF(AND(ISNUMBER(S186),OR(G186="Marge %",G186="Wachstumsrate %")),ABS(S186),"")</f>
        <v/>
      </c>
      <c r="Z186" s="0" t="str">
        <f aca="false">IFERROR(VLOOKUP(A186,Unternehmen!$A:$D,4,FALSE()),"")</f>
        <v>Technologie</v>
      </c>
    </row>
    <row r="187" customFormat="false" ht="15" hidden="false" customHeight="true" outlineLevel="0" collapsed="false">
      <c r="A187" s="15" t="s">
        <v>85</v>
      </c>
      <c r="B187" s="15" t="n">
        <v>2022</v>
      </c>
      <c r="C187" s="15" t="s">
        <v>158</v>
      </c>
      <c r="D187" s="15" t="s">
        <v>397</v>
      </c>
      <c r="E187" s="15" t="n">
        <v>111</v>
      </c>
      <c r="F187" s="15" t="s">
        <v>176</v>
      </c>
      <c r="G187" s="15" t="s">
        <v>159</v>
      </c>
      <c r="H187" s="15" t="s">
        <v>160</v>
      </c>
      <c r="I187" s="16" t="n">
        <v>0.21</v>
      </c>
      <c r="J187" s="16" t="n">
        <v>0.21</v>
      </c>
      <c r="K187" s="16" t="n">
        <f aca="false">L185</f>
        <v>0.187</v>
      </c>
      <c r="L187" s="16" t="n">
        <v>0.238</v>
      </c>
      <c r="M187" s="16" t="s">
        <v>400</v>
      </c>
      <c r="N187" s="23" t="s">
        <v>174</v>
      </c>
      <c r="O187" s="15" t="s">
        <v>399</v>
      </c>
      <c r="P187" s="15" t="n">
        <v>2</v>
      </c>
      <c r="Q187" s="18"/>
      <c r="R187" s="19" t="n">
        <f aca="false">IF(NOT(ISNUMBER(I187)),"",IF(F187="Mindestprognose",I187,IF(ISNUMBER(J187),(I187+J187)/2,I187)))</f>
        <v>0.21</v>
      </c>
      <c r="S187" s="19" t="n">
        <f aca="false">IF(OR(R187="",NOT(ISNUMBER(L187))),"",R187-L187)</f>
        <v>-0.028</v>
      </c>
      <c r="T187" s="19" t="str">
        <f aca="false">IF(OR(S187="",G187&lt;&gt;"absolut",NOT(ISNUMBER(L187)),L187=0),"",S187/ABS(L187))</f>
        <v/>
      </c>
      <c r="U187" s="19" t="str">
        <f aca="false">IF(T187="","",ABS(T187))</f>
        <v/>
      </c>
      <c r="V187" s="20" t="str">
        <f aca="false">IF(OR(F187="Punkt",NOT(ISNUMBER(L187))),"",IF(F187="Mindestprognose",IF(L187&gt;=I187,1,0),IF(AND(ISNUMBER(I187),ISNUMBER(J187),I187&lt;&gt;J187),IF(AND(L187&gt;=I187,L187&lt;=J187),1,0),"")))</f>
        <v/>
      </c>
      <c r="W187" s="18"/>
      <c r="X187" s="0" t="str">
        <f aca="false">IF(OR(F187="qualitativ",F187="fehlend",NOT(ISNUMBER(L187))),"nicht auswertbar",IF(F187="Punkt","Punktprognose",IF(AND(ISNUMBER(I187),ISNUMBER(J187),I187&lt;&gt;J187),IF(L187&lt;I187,"unterhalb",IF(L187&gt;J187,"oberhalb","innerhalb")),"nicht auswertbar")))</f>
        <v>Punktprognose</v>
      </c>
      <c r="Y187" s="19" t="n">
        <f aca="false">IF(AND(ISNUMBER(S187),OR(G187="Marge %",G187="Wachstumsrate %")),ABS(S187),"")</f>
        <v>0.028</v>
      </c>
      <c r="Z187" s="0" t="str">
        <f aca="false">IFERROR(VLOOKUP(A187,Unternehmen!$A:$D,4,FALSE()),"")</f>
        <v>Technologie</v>
      </c>
    </row>
    <row r="188" customFormat="false" ht="15" hidden="false" customHeight="true" outlineLevel="0" collapsed="false">
      <c r="A188" s="15" t="s">
        <v>85</v>
      </c>
      <c r="B188" s="15" t="n">
        <v>2023</v>
      </c>
      <c r="C188" s="15" t="s">
        <v>15</v>
      </c>
      <c r="D188" s="15" t="s">
        <v>399</v>
      </c>
      <c r="E188" s="15" t="n">
        <v>63</v>
      </c>
      <c r="F188" s="15" t="s">
        <v>183</v>
      </c>
      <c r="G188" s="15" t="s">
        <v>177</v>
      </c>
      <c r="H188" s="15" t="s">
        <v>178</v>
      </c>
      <c r="I188" s="17" t="n">
        <v>15000</v>
      </c>
      <c r="J188" s="17" t="n">
        <v>16000</v>
      </c>
      <c r="K188" s="17" t="n">
        <f aca="false">L186</f>
        <v>14218</v>
      </c>
      <c r="L188" s="17" t="n">
        <v>16309</v>
      </c>
      <c r="M188" s="17" t="n">
        <f aca="false">L188-K188</f>
        <v>2091</v>
      </c>
      <c r="N188" s="23" t="s">
        <v>174</v>
      </c>
      <c r="O188" s="15" t="s">
        <v>401</v>
      </c>
      <c r="P188" s="15" t="n">
        <v>2</v>
      </c>
      <c r="Q188" s="18"/>
      <c r="R188" s="25" t="n">
        <f aca="false">IF(NOT(ISNUMBER(I188)),"",IF(F188="Mindestprognose",I188,IF(ISNUMBER(J188),(I188+J188)/2,I188)))</f>
        <v>15500</v>
      </c>
      <c r="S188" s="25" t="n">
        <f aca="false">IF(OR(R188="",NOT(ISNUMBER(L188))),"",R188-L188)</f>
        <v>-809</v>
      </c>
      <c r="T188" s="19" t="n">
        <f aca="false">IF(OR(S188="",G188&lt;&gt;"absolut",NOT(ISNUMBER(L188)),L188=0),"",S188/ABS(L188))</f>
        <v>-0.049604512845668</v>
      </c>
      <c r="U188" s="19" t="n">
        <f aca="false">IF(T188="","",ABS(T188))</f>
        <v>0.049604512845668</v>
      </c>
      <c r="V188" s="20" t="n">
        <f aca="false">IF(OR(F188="Punkt",NOT(ISNUMBER(L188))),"",IF(F188="Mindestprognose",IF(L188&gt;=I188,1,0),IF(AND(ISNUMBER(I188),ISNUMBER(J188),I188&lt;&gt;J188),IF(AND(L188&gt;=I188,L188&lt;=J188),1,0),"")))</f>
        <v>0</v>
      </c>
      <c r="W188" s="18"/>
      <c r="X188" s="0" t="str">
        <f aca="false">IF(OR(F188="qualitativ",F188="fehlend",NOT(ISNUMBER(L188))),"nicht auswertbar",IF(F188="Punkt","Punktprognose",IF(AND(ISNUMBER(I188),ISNUMBER(J188),I188&lt;&gt;J188),IF(L188&lt;I188,"unterhalb",IF(L188&gt;J188,"oberhalb","innerhalb")),"nicht auswertbar")))</f>
        <v>oberhalb</v>
      </c>
      <c r="Y188" s="25" t="str">
        <f aca="false">IF(AND(ISNUMBER(S188),OR(G188="Marge %",G188="Wachstumsrate %")),ABS(S188),"")</f>
        <v/>
      </c>
      <c r="Z188" s="0" t="str">
        <f aca="false">IFERROR(VLOOKUP(A188,Unternehmen!$A:$D,4,FALSE()),"")</f>
        <v>Technologie</v>
      </c>
    </row>
    <row r="189" customFormat="false" ht="15" hidden="false" customHeight="true" outlineLevel="0" collapsed="false">
      <c r="A189" s="15" t="s">
        <v>85</v>
      </c>
      <c r="B189" s="15" t="n">
        <v>2023</v>
      </c>
      <c r="C189" s="15" t="s">
        <v>158</v>
      </c>
      <c r="D189" s="15" t="s">
        <v>399</v>
      </c>
      <c r="E189" s="15" t="n">
        <v>63</v>
      </c>
      <c r="F189" s="15" t="s">
        <v>176</v>
      </c>
      <c r="G189" s="15" t="s">
        <v>159</v>
      </c>
      <c r="H189" s="15" t="s">
        <v>160</v>
      </c>
      <c r="I189" s="16" t="n">
        <v>0.24</v>
      </c>
      <c r="J189" s="16" t="n">
        <v>0.24</v>
      </c>
      <c r="K189" s="16" t="n">
        <f aca="false">L187</f>
        <v>0.238</v>
      </c>
      <c r="L189" s="16" t="n">
        <v>0.27</v>
      </c>
      <c r="M189" s="16" t="s">
        <v>402</v>
      </c>
      <c r="N189" s="23" t="s">
        <v>174</v>
      </c>
      <c r="O189" s="15" t="s">
        <v>401</v>
      </c>
      <c r="P189" s="15" t="n">
        <v>2</v>
      </c>
      <c r="Q189" s="18"/>
      <c r="R189" s="19" t="n">
        <f aca="false">IF(NOT(ISNUMBER(I189)),"",IF(F189="Mindestprognose",I189,IF(ISNUMBER(J189),(I189+J189)/2,I189)))</f>
        <v>0.24</v>
      </c>
      <c r="S189" s="19" t="n">
        <f aca="false">IF(OR(R189="",NOT(ISNUMBER(L189))),"",R189-L189)</f>
        <v>-0.03</v>
      </c>
      <c r="T189" s="19" t="str">
        <f aca="false">IF(OR(S189="",G189&lt;&gt;"absolut",NOT(ISNUMBER(L189)),L189=0),"",S189/ABS(L189))</f>
        <v/>
      </c>
      <c r="U189" s="19" t="str">
        <f aca="false">IF(T189="","",ABS(T189))</f>
        <v/>
      </c>
      <c r="V189" s="20" t="str">
        <f aca="false">IF(OR(F189="Punkt",NOT(ISNUMBER(L189))),"",IF(F189="Mindestprognose",IF(L189&gt;=I189,1,0),IF(AND(ISNUMBER(I189),ISNUMBER(J189),I189&lt;&gt;J189),IF(AND(L189&gt;=I189,L189&lt;=J189),1,0),"")))</f>
        <v/>
      </c>
      <c r="W189" s="18"/>
      <c r="X189" s="0" t="str">
        <f aca="false">IF(OR(F189="qualitativ",F189="fehlend",NOT(ISNUMBER(L189))),"nicht auswertbar",IF(F189="Punkt","Punktprognose",IF(AND(ISNUMBER(I189),ISNUMBER(J189),I189&lt;&gt;J189),IF(L189&lt;I189,"unterhalb",IF(L189&gt;J189,"oberhalb","innerhalb")),"nicht auswertbar")))</f>
        <v>Punktprognose</v>
      </c>
      <c r="Y189" s="19" t="n">
        <f aca="false">IF(AND(ISNUMBER(S189),OR(G189="Marge %",G189="Wachstumsrate %")),ABS(S189),"")</f>
        <v>0.03</v>
      </c>
      <c r="Z189" s="0" t="str">
        <f aca="false">IFERROR(VLOOKUP(A189,Unternehmen!$A:$D,4,FALSE()),"")</f>
        <v>Technologie</v>
      </c>
    </row>
    <row r="190" customFormat="false" ht="15" hidden="false" customHeight="true" outlineLevel="0" collapsed="false">
      <c r="A190" s="15" t="s">
        <v>85</v>
      </c>
      <c r="B190" s="15" t="n">
        <v>2024</v>
      </c>
      <c r="C190" s="15" t="s">
        <v>15</v>
      </c>
      <c r="D190" s="15" t="s">
        <v>401</v>
      </c>
      <c r="E190" s="15" t="n">
        <v>63</v>
      </c>
      <c r="F190" s="15" t="s">
        <v>183</v>
      </c>
      <c r="G190" s="15" t="s">
        <v>177</v>
      </c>
      <c r="H190" s="15" t="s">
        <v>178</v>
      </c>
      <c r="I190" s="17" t="n">
        <v>16500</v>
      </c>
      <c r="J190" s="17" t="n">
        <v>17500</v>
      </c>
      <c r="K190" s="17" t="n">
        <f aca="false">L188</f>
        <v>16309</v>
      </c>
      <c r="L190" s="17" t="n">
        <v>14955</v>
      </c>
      <c r="M190" s="17" t="n">
        <f aca="false">L190-K190</f>
        <v>-1354</v>
      </c>
      <c r="N190" s="17" t="s">
        <v>403</v>
      </c>
      <c r="O190" s="15" t="s">
        <v>404</v>
      </c>
      <c r="P190" s="15" t="n">
        <v>2</v>
      </c>
      <c r="Q190" s="18"/>
      <c r="R190" s="25" t="n">
        <f aca="false">IF(NOT(ISNUMBER(I190)),"",IF(F190="Mindestprognose",I190,IF(ISNUMBER(J190),(I190+J190)/2,I190)))</f>
        <v>17000</v>
      </c>
      <c r="S190" s="25" t="n">
        <f aca="false">IF(OR(R190="",NOT(ISNUMBER(L190))),"",R190-L190)</f>
        <v>2045</v>
      </c>
      <c r="T190" s="19" t="n">
        <f aca="false">IF(OR(S190="",G190&lt;&gt;"absolut",NOT(ISNUMBER(L190)),L190=0),"",S190/ABS(L190))</f>
        <v>0.13674356402541</v>
      </c>
      <c r="U190" s="19" t="n">
        <f aca="false">IF(T190="","",ABS(T190))</f>
        <v>0.13674356402541</v>
      </c>
      <c r="V190" s="20" t="n">
        <f aca="false">IF(OR(F190="Punkt",NOT(ISNUMBER(L190))),"",IF(F190="Mindestprognose",IF(L190&gt;=I190,1,0),IF(AND(ISNUMBER(I190),ISNUMBER(J190),I190&lt;&gt;J190),IF(AND(L190&gt;=I190,L190&lt;=J190),1,0),"")))</f>
        <v>0</v>
      </c>
      <c r="W190" s="18"/>
      <c r="X190" s="0" t="str">
        <f aca="false">IF(OR(F190="qualitativ",F190="fehlend",NOT(ISNUMBER(L190))),"nicht auswertbar",IF(F190="Punkt","Punktprognose",IF(AND(ISNUMBER(I190),ISNUMBER(J190),I190&lt;&gt;J190),IF(L190&lt;I190,"unterhalb",IF(L190&gt;J190,"oberhalb","innerhalb")),"nicht auswertbar")))</f>
        <v>unterhalb</v>
      </c>
      <c r="Y190" s="25" t="str">
        <f aca="false">IF(AND(ISNUMBER(S190),OR(G190="Marge %",G190="Wachstumsrate %")),ABS(S190),"")</f>
        <v/>
      </c>
      <c r="Z190" s="0" t="str">
        <f aca="false">IFERROR(VLOOKUP(A190,Unternehmen!$A:$D,4,FALSE()),"")</f>
        <v>Technologie</v>
      </c>
    </row>
    <row r="191" customFormat="false" ht="15" hidden="false" customHeight="true" outlineLevel="0" collapsed="false">
      <c r="A191" s="15" t="s">
        <v>85</v>
      </c>
      <c r="B191" s="15" t="n">
        <v>2024</v>
      </c>
      <c r="C191" s="15" t="s">
        <v>158</v>
      </c>
      <c r="D191" s="15" t="s">
        <v>401</v>
      </c>
      <c r="E191" s="15" t="n">
        <v>64</v>
      </c>
      <c r="F191" s="15" t="s">
        <v>176</v>
      </c>
      <c r="G191" s="15" t="s">
        <v>159</v>
      </c>
      <c r="H191" s="15" t="s">
        <v>160</v>
      </c>
      <c r="I191" s="16" t="n">
        <v>0.24</v>
      </c>
      <c r="J191" s="16" t="n">
        <v>0.24</v>
      </c>
      <c r="K191" s="16" t="n">
        <f aca="false">L189</f>
        <v>0.27</v>
      </c>
      <c r="L191" s="16" t="n">
        <v>0.208</v>
      </c>
      <c r="M191" s="16" t="s">
        <v>405</v>
      </c>
      <c r="N191" s="21" t="s">
        <v>406</v>
      </c>
      <c r="O191" s="15" t="s">
        <v>404</v>
      </c>
      <c r="P191" s="15" t="n">
        <v>2</v>
      </c>
      <c r="Q191" s="18"/>
      <c r="R191" s="19" t="n">
        <f aca="false">IF(NOT(ISNUMBER(I191)),"",IF(F191="Mindestprognose",I191,IF(ISNUMBER(J191),(I191+J191)/2,I191)))</f>
        <v>0.24</v>
      </c>
      <c r="S191" s="19" t="n">
        <f aca="false">IF(OR(R191="",NOT(ISNUMBER(L191))),"",R191-L191)</f>
        <v>0.032</v>
      </c>
      <c r="T191" s="19" t="str">
        <f aca="false">IF(OR(S191="",G191&lt;&gt;"absolut",NOT(ISNUMBER(L191)),L191=0),"",S191/ABS(L191))</f>
        <v/>
      </c>
      <c r="U191" s="19" t="str">
        <f aca="false">IF(T191="","",ABS(T191))</f>
        <v/>
      </c>
      <c r="V191" s="20" t="str">
        <f aca="false">IF(OR(F191="Punkt",NOT(ISNUMBER(L191))),"",IF(F191="Mindestprognose",IF(L191&gt;=I191,1,0),IF(AND(ISNUMBER(I191),ISNUMBER(J191),I191&lt;&gt;J191),IF(AND(L191&gt;=I191,L191&lt;=J191),1,0),"")))</f>
        <v/>
      </c>
      <c r="W191" s="18"/>
      <c r="X191" s="0" t="str">
        <f aca="false">IF(OR(F191="qualitativ",F191="fehlend",NOT(ISNUMBER(L191))),"nicht auswertbar",IF(F191="Punkt","Punktprognose",IF(AND(ISNUMBER(I191),ISNUMBER(J191),I191&lt;&gt;J191),IF(L191&lt;I191,"unterhalb",IF(L191&gt;J191,"oberhalb","innerhalb")),"nicht auswertbar")))</f>
        <v>Punktprognose</v>
      </c>
      <c r="Y191" s="19" t="n">
        <f aca="false">IF(AND(ISNUMBER(S191),OR(G191="Marge %",G191="Wachstumsrate %")),ABS(S191),"")</f>
        <v>0.032</v>
      </c>
      <c r="Z191" s="0" t="str">
        <f aca="false">IFERROR(VLOOKUP(A191,Unternehmen!$A:$D,4,FALSE()),"")</f>
        <v>Technologie</v>
      </c>
    </row>
    <row r="192" customFormat="false" ht="15" hidden="false" customHeight="true" outlineLevel="0" collapsed="false">
      <c r="A192" s="15" t="s">
        <v>91</v>
      </c>
      <c r="B192" s="15" t="n">
        <v>2020</v>
      </c>
      <c r="C192" s="15" t="s">
        <v>15</v>
      </c>
      <c r="D192" s="15" t="s">
        <v>407</v>
      </c>
      <c r="E192" s="15" t="n">
        <v>108</v>
      </c>
      <c r="F192" s="15" t="s">
        <v>187</v>
      </c>
      <c r="G192" s="15" t="s">
        <v>177</v>
      </c>
      <c r="H192" s="15" t="s">
        <v>178</v>
      </c>
      <c r="I192" s="24"/>
      <c r="J192" s="24"/>
      <c r="K192" s="17" t="n">
        <v>36424</v>
      </c>
      <c r="L192" s="17" t="n">
        <v>13589</v>
      </c>
      <c r="M192" s="17" t="n">
        <f aca="false">L192-K192</f>
        <v>-22835</v>
      </c>
      <c r="N192" s="22" t="s">
        <v>164</v>
      </c>
      <c r="O192" s="15" t="s">
        <v>408</v>
      </c>
      <c r="P192" s="15" t="n">
        <v>2</v>
      </c>
      <c r="Q192" s="18"/>
      <c r="R192" s="25" t="str">
        <f aca="false">IF(NOT(ISNUMBER(I192)),"",IF(F192="Mindestprognose",I192,IF(ISNUMBER(J192),(I192+J192)/2,I192)))</f>
        <v/>
      </c>
      <c r="S192" s="25" t="str">
        <f aca="false">IF(OR(R192="",NOT(ISNUMBER(L192))),"",R192-L192)</f>
        <v/>
      </c>
      <c r="T192" s="19" t="str">
        <f aca="false">IF(OR(S192="",G192&lt;&gt;"absolut",NOT(ISNUMBER(L192)),L192=0),"",S192/ABS(L192))</f>
        <v/>
      </c>
      <c r="U192" s="19" t="str">
        <f aca="false">IF(T192="","",ABS(T192))</f>
        <v/>
      </c>
      <c r="V192" s="20" t="str">
        <f aca="false">IF(OR(F192="Punkt",NOT(ISNUMBER(L192))),"",IF(F192="Mindestprognose",IF(L192&gt;=I192,1,0),IF(AND(ISNUMBER(I192),ISNUMBER(J192),I192&lt;&gt;J192),IF(AND(L192&gt;=I192,L192&lt;=J192),1,0),"")))</f>
        <v/>
      </c>
      <c r="W192" s="18" t="s">
        <v>279</v>
      </c>
      <c r="X192" s="0" t="str">
        <f aca="false">IF(OR(F192="qualitativ",F192="fehlend",NOT(ISNUMBER(L192))),"nicht auswertbar",IF(F192="Punkt","Punktprognose",IF(AND(ISNUMBER(I192),ISNUMBER(J192),I192&lt;&gt;J192),IF(L192&lt;I192,"unterhalb",IF(L192&gt;J192,"oberhalb","innerhalb")),"nicht auswertbar")))</f>
        <v>nicht auswertbar</v>
      </c>
      <c r="Y192" s="25" t="str">
        <f aca="false">IF(AND(ISNUMBER(S192),OR(G192="Marge %",G192="Wachstumsrate %")),ABS(S192),"")</f>
        <v/>
      </c>
      <c r="Z192" s="0" t="str">
        <f aca="false">IFERROR(VLOOKUP(A192,Unternehmen!$A:$D,4,FALSE()),"")</f>
        <v>Transport &amp; Logistik</v>
      </c>
    </row>
    <row r="193" customFormat="false" ht="15" hidden="false" customHeight="true" outlineLevel="0" collapsed="false">
      <c r="A193" s="15" t="s">
        <v>91</v>
      </c>
      <c r="B193" s="15" t="n">
        <v>2020</v>
      </c>
      <c r="C193" s="15" t="s">
        <v>158</v>
      </c>
      <c r="D193" s="15" t="s">
        <v>407</v>
      </c>
      <c r="E193" s="15" t="n">
        <v>108</v>
      </c>
      <c r="F193" s="15" t="s">
        <v>187</v>
      </c>
      <c r="G193" s="15" t="s">
        <v>177</v>
      </c>
      <c r="H193" s="15" t="s">
        <v>178</v>
      </c>
      <c r="I193" s="24"/>
      <c r="J193" s="24"/>
      <c r="K193" s="17" t="n">
        <v>2026</v>
      </c>
      <c r="L193" s="17" t="n">
        <v>-5451</v>
      </c>
      <c r="M193" s="17" t="n">
        <f aca="false">L193-K193</f>
        <v>-7477</v>
      </c>
      <c r="N193" s="22" t="s">
        <v>164</v>
      </c>
      <c r="O193" s="15" t="s">
        <v>408</v>
      </c>
      <c r="P193" s="15" t="n">
        <v>2</v>
      </c>
      <c r="Q193" s="18" t="s">
        <v>409</v>
      </c>
      <c r="R193" s="25" t="str">
        <f aca="false">IF(NOT(ISNUMBER(I193)),"",IF(F193="Mindestprognose",I193,IF(ISNUMBER(J193),(I193+J193)/2,I193)))</f>
        <v/>
      </c>
      <c r="S193" s="25" t="str">
        <f aca="false">IF(OR(R193="",NOT(ISNUMBER(L193))),"",R193-L193)</f>
        <v/>
      </c>
      <c r="T193" s="19" t="str">
        <f aca="false">IF(OR(S193="",G193&lt;&gt;"absolut",NOT(ISNUMBER(L193)),L193=0),"",S193/ABS(L193))</f>
        <v/>
      </c>
      <c r="U193" s="19" t="str">
        <f aca="false">IF(T193="","",ABS(T193))</f>
        <v/>
      </c>
      <c r="V193" s="20" t="str">
        <f aca="false">IF(OR(F193="Punkt",NOT(ISNUMBER(L193))),"",IF(F193="Mindestprognose",IF(L193&gt;=I193,1,0),IF(AND(ISNUMBER(I193),ISNUMBER(J193),I193&lt;&gt;J193),IF(AND(L193&gt;=I193,L193&lt;=J193),1,0),"")))</f>
        <v/>
      </c>
      <c r="W193" s="18" t="s">
        <v>279</v>
      </c>
      <c r="X193" s="0" t="str">
        <f aca="false">IF(OR(F193="qualitativ",F193="fehlend",NOT(ISNUMBER(L193))),"nicht auswertbar",IF(F193="Punkt","Punktprognose",IF(AND(ISNUMBER(I193),ISNUMBER(J193),I193&lt;&gt;J193),IF(L193&lt;I193,"unterhalb",IF(L193&gt;J193,"oberhalb","innerhalb")),"nicht auswertbar")))</f>
        <v>nicht auswertbar</v>
      </c>
      <c r="Y193" s="25" t="str">
        <f aca="false">IF(AND(ISNUMBER(S193),OR(G193="Marge %",G193="Wachstumsrate %")),ABS(S193),"")</f>
        <v/>
      </c>
      <c r="Z193" s="0" t="str">
        <f aca="false">IFERROR(VLOOKUP(A193,Unternehmen!$A:$D,4,FALSE()),"")</f>
        <v>Transport &amp; Logistik</v>
      </c>
    </row>
    <row r="194" customFormat="false" ht="15" hidden="false" customHeight="true" outlineLevel="0" collapsed="false">
      <c r="A194" s="15" t="s">
        <v>91</v>
      </c>
      <c r="B194" s="15" t="n">
        <v>2021</v>
      </c>
      <c r="C194" s="15" t="s">
        <v>15</v>
      </c>
      <c r="D194" s="15" t="s">
        <v>408</v>
      </c>
      <c r="E194" s="15" t="n">
        <v>120</v>
      </c>
      <c r="F194" s="15" t="s">
        <v>187</v>
      </c>
      <c r="G194" s="15" t="s">
        <v>177</v>
      </c>
      <c r="H194" s="15" t="s">
        <v>178</v>
      </c>
      <c r="I194" s="24"/>
      <c r="J194" s="24"/>
      <c r="K194" s="17" t="n">
        <f aca="false">L192</f>
        <v>13589</v>
      </c>
      <c r="L194" s="17" t="n">
        <v>16811</v>
      </c>
      <c r="M194" s="17" t="n">
        <f aca="false">L194-K194</f>
        <v>3222</v>
      </c>
      <c r="N194" s="22" t="s">
        <v>164</v>
      </c>
      <c r="O194" s="15" t="s">
        <v>410</v>
      </c>
      <c r="P194" s="15" t="n">
        <v>2</v>
      </c>
      <c r="Q194" s="18"/>
      <c r="R194" s="25" t="str">
        <f aca="false">IF(NOT(ISNUMBER(I194)),"",IF(F194="Mindestprognose",I194,IF(ISNUMBER(J194),(I194+J194)/2,I194)))</f>
        <v/>
      </c>
      <c r="S194" s="25" t="str">
        <f aca="false">IF(OR(R194="",NOT(ISNUMBER(L194))),"",R194-L194)</f>
        <v/>
      </c>
      <c r="T194" s="19" t="str">
        <f aca="false">IF(OR(S194="",G194&lt;&gt;"absolut",NOT(ISNUMBER(L194)),L194=0),"",S194/ABS(L194))</f>
        <v/>
      </c>
      <c r="U194" s="19" t="str">
        <f aca="false">IF(T194="","",ABS(T194))</f>
        <v/>
      </c>
      <c r="V194" s="20" t="str">
        <f aca="false">IF(OR(F194="Punkt",NOT(ISNUMBER(L194))),"",IF(F194="Mindestprognose",IF(L194&gt;=I194,1,0),IF(AND(ISNUMBER(I194),ISNUMBER(J194),I194&lt;&gt;J194),IF(AND(L194&gt;=I194,L194&lt;=J194),1,0),"")))</f>
        <v/>
      </c>
      <c r="W194" s="18" t="s">
        <v>411</v>
      </c>
      <c r="X194" s="0" t="str">
        <f aca="false">IF(OR(F194="qualitativ",F194="fehlend",NOT(ISNUMBER(L194))),"nicht auswertbar",IF(F194="Punkt","Punktprognose",IF(AND(ISNUMBER(I194),ISNUMBER(J194),I194&lt;&gt;J194),IF(L194&lt;I194,"unterhalb",IF(L194&gt;J194,"oberhalb","innerhalb")),"nicht auswertbar")))</f>
        <v>nicht auswertbar</v>
      </c>
      <c r="Y194" s="25" t="str">
        <f aca="false">IF(AND(ISNUMBER(S194),OR(G194="Marge %",G194="Wachstumsrate %")),ABS(S194),"")</f>
        <v/>
      </c>
      <c r="Z194" s="0" t="str">
        <f aca="false">IFERROR(VLOOKUP(A194,Unternehmen!$A:$D,4,FALSE()),"")</f>
        <v>Transport &amp; Logistik</v>
      </c>
    </row>
    <row r="195" customFormat="false" ht="15" hidden="false" customHeight="true" outlineLevel="0" collapsed="false">
      <c r="A195" s="15" t="s">
        <v>91</v>
      </c>
      <c r="B195" s="15" t="n">
        <v>2021</v>
      </c>
      <c r="C195" s="15" t="s">
        <v>158</v>
      </c>
      <c r="D195" s="15" t="s">
        <v>408</v>
      </c>
      <c r="E195" s="15" t="n">
        <v>120</v>
      </c>
      <c r="F195" s="15" t="s">
        <v>187</v>
      </c>
      <c r="G195" s="15" t="s">
        <v>177</v>
      </c>
      <c r="H195" s="15" t="s">
        <v>178</v>
      </c>
      <c r="I195" s="24"/>
      <c r="J195" s="24"/>
      <c r="K195" s="17" t="n">
        <f aca="false">L193</f>
        <v>-5451</v>
      </c>
      <c r="L195" s="17" t="n">
        <v>-2349</v>
      </c>
      <c r="M195" s="17" t="n">
        <f aca="false">L195-K195</f>
        <v>3102</v>
      </c>
      <c r="N195" s="33" t="s">
        <v>412</v>
      </c>
      <c r="O195" s="15" t="s">
        <v>410</v>
      </c>
      <c r="P195" s="15" t="n">
        <v>2</v>
      </c>
      <c r="Q195" s="18"/>
      <c r="R195" s="25" t="str">
        <f aca="false">IF(NOT(ISNUMBER(I195)),"",IF(F195="Mindestprognose",I195,IF(ISNUMBER(J195),(I195+J195)/2,I195)))</f>
        <v/>
      </c>
      <c r="S195" s="25" t="str">
        <f aca="false">IF(OR(R195="",NOT(ISNUMBER(L195))),"",R195-L195)</f>
        <v/>
      </c>
      <c r="T195" s="19" t="str">
        <f aca="false">IF(OR(S195="",G195&lt;&gt;"absolut",NOT(ISNUMBER(L195)),L195=0),"",S195/ABS(L195))</f>
        <v/>
      </c>
      <c r="U195" s="19" t="str">
        <f aca="false">IF(T195="","",ABS(T195))</f>
        <v/>
      </c>
      <c r="V195" s="20" t="str">
        <f aca="false">IF(OR(F195="Punkt",NOT(ISNUMBER(L195))),"",IF(F195="Mindestprognose",IF(L195&gt;=I195,1,0),IF(AND(ISNUMBER(I195),ISNUMBER(J195),I195&lt;&gt;J195),IF(AND(L195&gt;=I195,L195&lt;=J195),1,0),"")))</f>
        <v/>
      </c>
      <c r="W195" s="18" t="s">
        <v>413</v>
      </c>
      <c r="X195" s="0" t="str">
        <f aca="false">IF(OR(F195="qualitativ",F195="fehlend",NOT(ISNUMBER(L195))),"nicht auswertbar",IF(F195="Punkt","Punktprognose",IF(AND(ISNUMBER(I195),ISNUMBER(J195),I195&lt;&gt;J195),IF(L195&lt;I195,"unterhalb",IF(L195&gt;J195,"oberhalb","innerhalb")),"nicht auswertbar")))</f>
        <v>nicht auswertbar</v>
      </c>
      <c r="Y195" s="25" t="str">
        <f aca="false">IF(AND(ISNUMBER(S195),OR(G195="Marge %",G195="Wachstumsrate %")),ABS(S195),"")</f>
        <v/>
      </c>
      <c r="Z195" s="0" t="str">
        <f aca="false">IFERROR(VLOOKUP(A195,Unternehmen!$A:$D,4,FALSE()),"")</f>
        <v>Transport &amp; Logistik</v>
      </c>
    </row>
    <row r="196" customFormat="false" ht="15" hidden="false" customHeight="true" outlineLevel="0" collapsed="false">
      <c r="A196" s="15" t="s">
        <v>91</v>
      </c>
      <c r="B196" s="15" t="n">
        <v>2022</v>
      </c>
      <c r="C196" s="15" t="s">
        <v>15</v>
      </c>
      <c r="D196" s="15" t="s">
        <v>410</v>
      </c>
      <c r="E196" s="15" t="n">
        <v>140</v>
      </c>
      <c r="F196" s="15" t="s">
        <v>187</v>
      </c>
      <c r="G196" s="15" t="s">
        <v>177</v>
      </c>
      <c r="H196" s="15" t="s">
        <v>178</v>
      </c>
      <c r="I196" s="24"/>
      <c r="J196" s="24"/>
      <c r="K196" s="17" t="n">
        <f aca="false">L194</f>
        <v>16811</v>
      </c>
      <c r="L196" s="17" t="n">
        <v>32770</v>
      </c>
      <c r="M196" s="17" t="n">
        <f aca="false">L196-K196</f>
        <v>15959</v>
      </c>
      <c r="N196" s="22" t="s">
        <v>164</v>
      </c>
      <c r="O196" s="15" t="s">
        <v>414</v>
      </c>
      <c r="P196" s="15" t="n">
        <v>2</v>
      </c>
      <c r="Q196" s="18"/>
      <c r="R196" s="25" t="str">
        <f aca="false">IF(NOT(ISNUMBER(I196)),"",IF(F196="Mindestprognose",I196,IF(ISNUMBER(J196),(I196+J196)/2,I196)))</f>
        <v/>
      </c>
      <c r="S196" s="25" t="str">
        <f aca="false">IF(OR(R196="",NOT(ISNUMBER(L196))),"",R196-L196)</f>
        <v/>
      </c>
      <c r="T196" s="19" t="str">
        <f aca="false">IF(OR(S196="",G196&lt;&gt;"absolut",NOT(ISNUMBER(L196)),L196=0),"",S196/ABS(L196))</f>
        <v/>
      </c>
      <c r="U196" s="19" t="str">
        <f aca="false">IF(T196="","",ABS(T196))</f>
        <v/>
      </c>
      <c r="V196" s="20" t="str">
        <f aca="false">IF(OR(F196="Punkt",NOT(ISNUMBER(L196))),"",IF(F196="Mindestprognose",IF(L196&gt;=I196,1,0),IF(AND(ISNUMBER(I196),ISNUMBER(J196),I196&lt;&gt;J196),IF(AND(L196&gt;=I196,L196&lt;=J196),1,0),"")))</f>
        <v/>
      </c>
      <c r="W196" s="18" t="s">
        <v>415</v>
      </c>
      <c r="X196" s="0" t="str">
        <f aca="false">IF(OR(F196="qualitativ",F196="fehlend",NOT(ISNUMBER(L196))),"nicht auswertbar",IF(F196="Punkt","Punktprognose",IF(AND(ISNUMBER(I196),ISNUMBER(J196),I196&lt;&gt;J196),IF(L196&lt;I196,"unterhalb",IF(L196&gt;J196,"oberhalb","innerhalb")),"nicht auswertbar")))</f>
        <v>nicht auswertbar</v>
      </c>
      <c r="Y196" s="25" t="str">
        <f aca="false">IF(AND(ISNUMBER(S196),OR(G196="Marge %",G196="Wachstumsrate %")),ABS(S196),"")</f>
        <v/>
      </c>
      <c r="Z196" s="0" t="str">
        <f aca="false">IFERROR(VLOOKUP(A196,Unternehmen!$A:$D,4,FALSE()),"")</f>
        <v>Transport &amp; Logistik</v>
      </c>
    </row>
    <row r="197" customFormat="false" ht="15" hidden="false" customHeight="true" outlineLevel="0" collapsed="false">
      <c r="A197" s="15" t="s">
        <v>91</v>
      </c>
      <c r="B197" s="15" t="n">
        <v>2022</v>
      </c>
      <c r="C197" s="15" t="s">
        <v>158</v>
      </c>
      <c r="D197" s="15" t="s">
        <v>410</v>
      </c>
      <c r="E197" s="15" t="n">
        <v>140</v>
      </c>
      <c r="F197" s="15" t="s">
        <v>187</v>
      </c>
      <c r="G197" s="15" t="s">
        <v>177</v>
      </c>
      <c r="H197" s="15" t="s">
        <v>178</v>
      </c>
      <c r="I197" s="24"/>
      <c r="J197" s="24"/>
      <c r="K197" s="17" t="n">
        <v>-1666</v>
      </c>
      <c r="L197" s="17" t="n">
        <v>1509</v>
      </c>
      <c r="M197" s="17" t="n">
        <f aca="false">L197-K197</f>
        <v>3175</v>
      </c>
      <c r="N197" s="22" t="s">
        <v>164</v>
      </c>
      <c r="O197" s="15" t="s">
        <v>414</v>
      </c>
      <c r="P197" s="15" t="n">
        <v>2</v>
      </c>
      <c r="Q197" s="18" t="s">
        <v>416</v>
      </c>
      <c r="R197" s="25" t="str">
        <f aca="false">IF(NOT(ISNUMBER(I197)),"",IF(F197="Mindestprognose",I197,IF(ISNUMBER(J197),(I197+J197)/2,I197)))</f>
        <v/>
      </c>
      <c r="S197" s="25" t="str">
        <f aca="false">IF(OR(R197="",NOT(ISNUMBER(L197))),"",R197-L197)</f>
        <v/>
      </c>
      <c r="T197" s="19" t="str">
        <f aca="false">IF(OR(S197="",G197&lt;&gt;"absolut",NOT(ISNUMBER(L197)),L197=0),"",S197/ABS(L197))</f>
        <v/>
      </c>
      <c r="U197" s="19" t="str">
        <f aca="false">IF(T197="","",ABS(T197))</f>
        <v/>
      </c>
      <c r="V197" s="20" t="str">
        <f aca="false">IF(OR(F197="Punkt",NOT(ISNUMBER(L197))),"",IF(F197="Mindestprognose",IF(L197&gt;=I197,1,0),IF(AND(ISNUMBER(I197),ISNUMBER(J197),I197&lt;&gt;J197),IF(AND(L197&gt;=I197,L197&lt;=J197),1,0),"")))</f>
        <v/>
      </c>
      <c r="W197" s="18" t="s">
        <v>415</v>
      </c>
      <c r="X197" s="0" t="str">
        <f aca="false">IF(OR(F197="qualitativ",F197="fehlend",NOT(ISNUMBER(L197))),"nicht auswertbar",IF(F197="Punkt","Punktprognose",IF(AND(ISNUMBER(I197),ISNUMBER(J197),I197&lt;&gt;J197),IF(L197&lt;I197,"unterhalb",IF(L197&gt;J197,"oberhalb","innerhalb")),"nicht auswertbar")))</f>
        <v>nicht auswertbar</v>
      </c>
      <c r="Y197" s="25" t="str">
        <f aca="false">IF(AND(ISNUMBER(S197),OR(G197="Marge %",G197="Wachstumsrate %")),ABS(S197),"")</f>
        <v/>
      </c>
      <c r="Z197" s="0" t="str">
        <f aca="false">IFERROR(VLOOKUP(A197,Unternehmen!$A:$D,4,FALSE()),"")</f>
        <v>Transport &amp; Logistik</v>
      </c>
    </row>
    <row r="198" customFormat="false" ht="15" hidden="false" customHeight="true" outlineLevel="0" collapsed="false">
      <c r="A198" s="15" t="s">
        <v>91</v>
      </c>
      <c r="B198" s="15" t="n">
        <v>2023</v>
      </c>
      <c r="C198" s="15" t="s">
        <v>15</v>
      </c>
      <c r="D198" s="15" t="s">
        <v>414</v>
      </c>
      <c r="E198" s="15" t="n">
        <v>153</v>
      </c>
      <c r="F198" s="15" t="s">
        <v>187</v>
      </c>
      <c r="G198" s="15" t="s">
        <v>177</v>
      </c>
      <c r="H198" s="15" t="s">
        <v>178</v>
      </c>
      <c r="I198" s="24"/>
      <c r="J198" s="24"/>
      <c r="K198" s="17" t="n">
        <v>30895</v>
      </c>
      <c r="L198" s="17" t="n">
        <v>35442</v>
      </c>
      <c r="M198" s="17" t="n">
        <f aca="false">L198-K198</f>
        <v>4547</v>
      </c>
      <c r="N198" s="22" t="s">
        <v>417</v>
      </c>
      <c r="O198" s="15" t="s">
        <v>418</v>
      </c>
      <c r="P198" s="15" t="n">
        <v>3</v>
      </c>
      <c r="Q198" s="18" t="s">
        <v>419</v>
      </c>
      <c r="R198" s="25" t="str">
        <f aca="false">IF(NOT(ISNUMBER(I198)),"",IF(F198="Mindestprognose",I198,IF(ISNUMBER(J198),(I198+J198)/2,I198)))</f>
        <v/>
      </c>
      <c r="S198" s="25" t="str">
        <f aca="false">IF(OR(R198="",NOT(ISNUMBER(L198))),"",R198-L198)</f>
        <v/>
      </c>
      <c r="T198" s="19" t="str">
        <f aca="false">IF(OR(S198="",G198&lt;&gt;"absolut",NOT(ISNUMBER(L198)),L198=0),"",S198/ABS(L198))</f>
        <v/>
      </c>
      <c r="U198" s="19" t="str">
        <f aca="false">IF(T198="","",ABS(T198))</f>
        <v/>
      </c>
      <c r="V198" s="20" t="str">
        <f aca="false">IF(OR(F198="Punkt",NOT(ISNUMBER(L198))),"",IF(F198="Mindestprognose",IF(L198&gt;=I198,1,0),IF(AND(ISNUMBER(I198),ISNUMBER(J198),I198&lt;&gt;J198),IF(AND(L198&gt;=I198,L198&lt;=J198),1,0),"")))</f>
        <v/>
      </c>
      <c r="W198" s="18" t="s">
        <v>420</v>
      </c>
      <c r="X198" s="0" t="str">
        <f aca="false">IF(OR(F198="qualitativ",F198="fehlend",NOT(ISNUMBER(L198))),"nicht auswertbar",IF(F198="Punkt","Punktprognose",IF(AND(ISNUMBER(I198),ISNUMBER(J198),I198&lt;&gt;J198),IF(L198&lt;I198,"unterhalb",IF(L198&gt;J198,"oberhalb","innerhalb")),"nicht auswertbar")))</f>
        <v>nicht auswertbar</v>
      </c>
      <c r="Y198" s="25" t="str">
        <f aca="false">IF(AND(ISNUMBER(S198),OR(G198="Marge %",G198="Wachstumsrate %")),ABS(S198),"")</f>
        <v/>
      </c>
      <c r="Z198" s="0" t="str">
        <f aca="false">IFERROR(VLOOKUP(A198,Unternehmen!$A:$D,4,FALSE()),"")</f>
        <v>Transport &amp; Logistik</v>
      </c>
    </row>
    <row r="199" customFormat="false" ht="15" hidden="false" customHeight="true" outlineLevel="0" collapsed="false">
      <c r="A199" s="15" t="s">
        <v>91</v>
      </c>
      <c r="B199" s="15" t="n">
        <v>2023</v>
      </c>
      <c r="C199" s="15" t="s">
        <v>158</v>
      </c>
      <c r="D199" s="15" t="s">
        <v>414</v>
      </c>
      <c r="E199" s="15" t="n">
        <v>153</v>
      </c>
      <c r="F199" s="15" t="s">
        <v>187</v>
      </c>
      <c r="G199" s="15" t="s">
        <v>177</v>
      </c>
      <c r="H199" s="15" t="s">
        <v>178</v>
      </c>
      <c r="I199" s="24"/>
      <c r="J199" s="24"/>
      <c r="K199" s="17" t="n">
        <v>1520</v>
      </c>
      <c r="L199" s="17" t="n">
        <v>2682</v>
      </c>
      <c r="M199" s="17" t="n">
        <f aca="false">L199-K199</f>
        <v>1162</v>
      </c>
      <c r="N199" s="22" t="s">
        <v>417</v>
      </c>
      <c r="O199" s="15" t="s">
        <v>418</v>
      </c>
      <c r="P199" s="15" t="n">
        <v>3</v>
      </c>
      <c r="Q199" s="18" t="s">
        <v>419</v>
      </c>
      <c r="R199" s="25" t="str">
        <f aca="false">IF(NOT(ISNUMBER(I199)),"",IF(F199="Mindestprognose",I199,IF(ISNUMBER(J199),(I199+J199)/2,I199)))</f>
        <v/>
      </c>
      <c r="S199" s="25" t="str">
        <f aca="false">IF(OR(R199="",NOT(ISNUMBER(L199))),"",R199-L199)</f>
        <v/>
      </c>
      <c r="T199" s="19" t="str">
        <f aca="false">IF(OR(S199="",G199&lt;&gt;"absolut",NOT(ISNUMBER(L199)),L199=0),"",S199/ABS(L199))</f>
        <v/>
      </c>
      <c r="U199" s="19" t="str">
        <f aca="false">IF(T199="","",ABS(T199))</f>
        <v/>
      </c>
      <c r="V199" s="20" t="str">
        <f aca="false">IF(OR(F199="Punkt",NOT(ISNUMBER(L199))),"",IF(F199="Mindestprognose",IF(L199&gt;=I199,1,0),IF(AND(ISNUMBER(I199),ISNUMBER(J199),I199&lt;&gt;J199),IF(AND(L199&gt;=I199,L199&lt;=J199),1,0),"")))</f>
        <v/>
      </c>
      <c r="W199" s="18" t="s">
        <v>420</v>
      </c>
      <c r="X199" s="0" t="str">
        <f aca="false">IF(OR(F199="qualitativ",F199="fehlend",NOT(ISNUMBER(L199))),"nicht auswertbar",IF(F199="Punkt","Punktprognose",IF(AND(ISNUMBER(I199),ISNUMBER(J199),I199&lt;&gt;J199),IF(L199&lt;I199,"unterhalb",IF(L199&gt;J199,"oberhalb","innerhalb")),"nicht auswertbar")))</f>
        <v>nicht auswertbar</v>
      </c>
      <c r="Y199" s="25" t="str">
        <f aca="false">IF(AND(ISNUMBER(S199),OR(G199="Marge %",G199="Wachstumsrate %")),ABS(S199),"")</f>
        <v/>
      </c>
      <c r="Z199" s="0" t="str">
        <f aca="false">IFERROR(VLOOKUP(A199,Unternehmen!$A:$D,4,FALSE()),"")</f>
        <v>Transport &amp; Logistik</v>
      </c>
    </row>
    <row r="200" customFormat="false" ht="15" hidden="false" customHeight="true" outlineLevel="0" collapsed="false">
      <c r="A200" s="15" t="s">
        <v>91</v>
      </c>
      <c r="B200" s="15" t="n">
        <v>2024</v>
      </c>
      <c r="C200" s="15" t="s">
        <v>15</v>
      </c>
      <c r="D200" s="15" t="s">
        <v>418</v>
      </c>
      <c r="E200" s="15" t="n">
        <v>146</v>
      </c>
      <c r="F200" s="15" t="s">
        <v>187</v>
      </c>
      <c r="G200" s="15" t="s">
        <v>177</v>
      </c>
      <c r="H200" s="15" t="s">
        <v>178</v>
      </c>
      <c r="I200" s="24"/>
      <c r="J200" s="24"/>
      <c r="K200" s="17" t="n">
        <f aca="false">L198</f>
        <v>35442</v>
      </c>
      <c r="L200" s="17" t="n">
        <v>37581</v>
      </c>
      <c r="M200" s="17" t="n">
        <f aca="false">L200-K200</f>
        <v>2139</v>
      </c>
      <c r="N200" s="22" t="s">
        <v>417</v>
      </c>
      <c r="O200" s="15" t="s">
        <v>421</v>
      </c>
      <c r="P200" s="15" t="n">
        <v>3</v>
      </c>
      <c r="Q200" s="18"/>
      <c r="R200" s="25" t="str">
        <f aca="false">IF(NOT(ISNUMBER(I200)),"",IF(F200="Mindestprognose",I200,IF(ISNUMBER(J200),(I200+J200)/2,I200)))</f>
        <v/>
      </c>
      <c r="S200" s="25" t="str">
        <f aca="false">IF(OR(R200="",NOT(ISNUMBER(L200))),"",R200-L200)</f>
        <v/>
      </c>
      <c r="T200" s="19" t="str">
        <f aca="false">IF(OR(S200="",G200&lt;&gt;"absolut",NOT(ISNUMBER(L200)),L200=0),"",S200/ABS(L200))</f>
        <v/>
      </c>
      <c r="U200" s="19" t="str">
        <f aca="false">IF(T200="","",ABS(T200))</f>
        <v/>
      </c>
      <c r="V200" s="20" t="str">
        <f aca="false">IF(OR(F200="Punkt",NOT(ISNUMBER(L200))),"",IF(F200="Mindestprognose",IF(L200&gt;=I200,1,0),IF(AND(ISNUMBER(I200),ISNUMBER(J200),I200&lt;&gt;J200),IF(AND(L200&gt;=I200,L200&lt;=J200),1,0),"")))</f>
        <v/>
      </c>
      <c r="W200" s="18" t="s">
        <v>420</v>
      </c>
      <c r="X200" s="0" t="str">
        <f aca="false">IF(OR(F200="qualitativ",F200="fehlend",NOT(ISNUMBER(L200))),"nicht auswertbar",IF(F200="Punkt","Punktprognose",IF(AND(ISNUMBER(I200),ISNUMBER(J200),I200&lt;&gt;J200),IF(L200&lt;I200,"unterhalb",IF(L200&gt;J200,"oberhalb","innerhalb")),"nicht auswertbar")))</f>
        <v>nicht auswertbar</v>
      </c>
      <c r="Y200" s="25" t="str">
        <f aca="false">IF(AND(ISNUMBER(S200),OR(G200="Marge %",G200="Wachstumsrate %")),ABS(S200),"")</f>
        <v/>
      </c>
      <c r="Z200" s="0" t="str">
        <f aca="false">IFERROR(VLOOKUP(A200,Unternehmen!$A:$D,4,FALSE()),"")</f>
        <v>Transport &amp; Logistik</v>
      </c>
    </row>
    <row r="201" customFormat="false" ht="15" hidden="false" customHeight="true" outlineLevel="0" collapsed="false">
      <c r="A201" s="15" t="s">
        <v>91</v>
      </c>
      <c r="B201" s="15" t="n">
        <v>2024</v>
      </c>
      <c r="C201" s="15" t="s">
        <v>158</v>
      </c>
      <c r="D201" s="15" t="s">
        <v>418</v>
      </c>
      <c r="E201" s="15" t="n">
        <v>146</v>
      </c>
      <c r="F201" s="15" t="s">
        <v>187</v>
      </c>
      <c r="G201" s="15" t="s">
        <v>177</v>
      </c>
      <c r="H201" s="15" t="s">
        <v>178</v>
      </c>
      <c r="I201" s="24"/>
      <c r="J201" s="24"/>
      <c r="K201" s="17" t="n">
        <f aca="false">L199</f>
        <v>2682</v>
      </c>
      <c r="L201" s="17" t="n">
        <v>1645</v>
      </c>
      <c r="M201" s="17" t="n">
        <f aca="false">L201-K201</f>
        <v>-1037</v>
      </c>
      <c r="N201" s="22" t="s">
        <v>417</v>
      </c>
      <c r="O201" s="15" t="s">
        <v>421</v>
      </c>
      <c r="P201" s="15" t="n">
        <v>3</v>
      </c>
      <c r="Q201" s="18"/>
      <c r="R201" s="25" t="str">
        <f aca="false">IF(NOT(ISNUMBER(I201)),"",IF(F201="Mindestprognose",I201,IF(ISNUMBER(J201),(I201+J201)/2,I201)))</f>
        <v/>
      </c>
      <c r="S201" s="25" t="str">
        <f aca="false">IF(OR(R201="",NOT(ISNUMBER(L201))),"",R201-L201)</f>
        <v/>
      </c>
      <c r="T201" s="19" t="str">
        <f aca="false">IF(OR(S201="",G201&lt;&gt;"absolut",NOT(ISNUMBER(L201)),L201=0),"",S201/ABS(L201))</f>
        <v/>
      </c>
      <c r="U201" s="19" t="str">
        <f aca="false">IF(T201="","",ABS(T201))</f>
        <v/>
      </c>
      <c r="V201" s="20" t="str">
        <f aca="false">IF(OR(F201="Punkt",NOT(ISNUMBER(L201))),"",IF(F201="Mindestprognose",IF(L201&gt;=I201,1,0),IF(AND(ISNUMBER(I201),ISNUMBER(J201),I201&lt;&gt;J201),IF(AND(L201&gt;=I201,L201&lt;=J201),1,0),"")))</f>
        <v/>
      </c>
      <c r="W201" s="18" t="s">
        <v>284</v>
      </c>
      <c r="X201" s="0" t="str">
        <f aca="false">IF(OR(F201="qualitativ",F201="fehlend",NOT(ISNUMBER(L201))),"nicht auswertbar",IF(F201="Punkt","Punktprognose",IF(AND(ISNUMBER(I201),ISNUMBER(J201),I201&lt;&gt;J201),IF(L201&lt;I201,"unterhalb",IF(L201&gt;J201,"oberhalb","innerhalb")),"nicht auswertbar")))</f>
        <v>nicht auswertbar</v>
      </c>
      <c r="Y201" s="25" t="str">
        <f aca="false">IF(AND(ISNUMBER(S201),OR(G201="Marge %",G201="Wachstumsrate %")),ABS(S201),"")</f>
        <v/>
      </c>
      <c r="Z201" s="0" t="str">
        <f aca="false">IFERROR(VLOOKUP(A201,Unternehmen!$A:$D,4,FALSE()),"")</f>
        <v>Transport &amp; Logistik</v>
      </c>
    </row>
    <row r="202" customFormat="false" ht="15" hidden="false" customHeight="true" outlineLevel="0" collapsed="false">
      <c r="A202" s="15" t="s">
        <v>94</v>
      </c>
      <c r="B202" s="15" t="n">
        <v>2020</v>
      </c>
      <c r="C202" s="15" t="s">
        <v>15</v>
      </c>
      <c r="D202" s="15" t="s">
        <v>422</v>
      </c>
      <c r="E202" s="15" t="n">
        <v>125</v>
      </c>
      <c r="F202" s="15" t="s">
        <v>187</v>
      </c>
      <c r="G202" s="15" t="s">
        <v>177</v>
      </c>
      <c r="H202" s="15" t="s">
        <v>178</v>
      </c>
      <c r="I202" s="24"/>
      <c r="J202" s="24"/>
      <c r="K202" s="17" t="n">
        <v>16152</v>
      </c>
      <c r="L202" s="17" t="n">
        <v>17534</v>
      </c>
      <c r="M202" s="17" t="n">
        <f aca="false">L202-K202</f>
        <v>1382</v>
      </c>
      <c r="N202" s="22" t="s">
        <v>417</v>
      </c>
      <c r="O202" s="15" t="s">
        <v>423</v>
      </c>
      <c r="P202" s="15" t="n">
        <v>144</v>
      </c>
      <c r="Q202" s="18"/>
      <c r="R202" s="25" t="str">
        <f aca="false">IF(NOT(ISNUMBER(I202)),"",IF(F202="Mindestprognose",I202,IF(ISNUMBER(J202),(I202+J202)/2,I202)))</f>
        <v/>
      </c>
      <c r="S202" s="25" t="str">
        <f aca="false">IF(OR(R202="",NOT(ISNUMBER(L202))),"",R202-L202)</f>
        <v/>
      </c>
      <c r="T202" s="19" t="str">
        <f aca="false">IF(OR(S202="",G202&lt;&gt;"absolut",NOT(ISNUMBER(L202)),L202=0),"",S202/ABS(L202))</f>
        <v/>
      </c>
      <c r="U202" s="19" t="str">
        <f aca="false">IF(T202="","",ABS(T202))</f>
        <v/>
      </c>
      <c r="V202" s="20" t="str">
        <f aca="false">IF(OR(F202="Punkt",NOT(ISNUMBER(L202))),"",IF(F202="Mindestprognose",IF(L202&gt;=I202,1,0),IF(AND(ISNUMBER(I202),ISNUMBER(J202),I202&lt;&gt;J202),IF(AND(L202&gt;=I202,L202&lt;=J202),1,0),"")))</f>
        <v/>
      </c>
      <c r="W202" s="18" t="s">
        <v>424</v>
      </c>
      <c r="X202" s="0" t="str">
        <f aca="false">IF(OR(F202="qualitativ",F202="fehlend",NOT(ISNUMBER(L202))),"nicht auswertbar",IF(F202="Punkt","Punktprognose",IF(AND(ISNUMBER(I202),ISNUMBER(J202),I202&lt;&gt;J202),IF(L202&lt;I202,"unterhalb",IF(L202&gt;J202,"oberhalb","innerhalb")),"nicht auswertbar")))</f>
        <v>nicht auswertbar</v>
      </c>
      <c r="Y202" s="25" t="str">
        <f aca="false">IF(AND(ISNUMBER(S202),OR(G202="Marge %",G202="Wachstumsrate %")),ABS(S202),"")</f>
        <v/>
      </c>
      <c r="Z202" s="0" t="str">
        <f aca="false">IFERROR(VLOOKUP(A202,Unternehmen!$A:$D,4,FALSE()),"")</f>
        <v>Pharma &amp; Healthcare</v>
      </c>
    </row>
    <row r="203" customFormat="false" ht="15" hidden="false" customHeight="true" outlineLevel="0" collapsed="false">
      <c r="A203" s="15" t="s">
        <v>94</v>
      </c>
      <c r="B203" s="15" t="n">
        <v>2020</v>
      </c>
      <c r="C203" s="15" t="s">
        <v>158</v>
      </c>
      <c r="D203" s="15" t="s">
        <v>422</v>
      </c>
      <c r="E203" s="15" t="n">
        <v>125</v>
      </c>
      <c r="F203" s="15" t="s">
        <v>187</v>
      </c>
      <c r="G203" s="15" t="s">
        <v>177</v>
      </c>
      <c r="H203" s="15" t="s">
        <v>178</v>
      </c>
      <c r="I203" s="24"/>
      <c r="J203" s="24"/>
      <c r="K203" s="17" t="n">
        <v>4385</v>
      </c>
      <c r="L203" s="17" t="n">
        <v>5201</v>
      </c>
      <c r="M203" s="17" t="n">
        <f aca="false">L203-K203</f>
        <v>816</v>
      </c>
      <c r="N203" s="22" t="s">
        <v>417</v>
      </c>
      <c r="O203" s="15" t="s">
        <v>423</v>
      </c>
      <c r="P203" s="15" t="n">
        <v>144</v>
      </c>
      <c r="Q203" s="18"/>
      <c r="R203" s="25" t="str">
        <f aca="false">IF(NOT(ISNUMBER(I203)),"",IF(F203="Mindestprognose",I203,IF(ISNUMBER(J203),(I203+J203)/2,I203)))</f>
        <v/>
      </c>
      <c r="S203" s="25" t="str">
        <f aca="false">IF(OR(R203="",NOT(ISNUMBER(L203))),"",R203-L203)</f>
        <v/>
      </c>
      <c r="T203" s="19" t="str">
        <f aca="false">IF(OR(S203="",G203&lt;&gt;"absolut",NOT(ISNUMBER(L203)),L203=0),"",S203/ABS(L203))</f>
        <v/>
      </c>
      <c r="U203" s="19" t="str">
        <f aca="false">IF(T203="","",ABS(T203))</f>
        <v/>
      </c>
      <c r="V203" s="20" t="str">
        <f aca="false">IF(OR(F203="Punkt",NOT(ISNUMBER(L203))),"",IF(F203="Mindestprognose",IF(L203&gt;=I203,1,0),IF(AND(ISNUMBER(I203),ISNUMBER(J203),I203&lt;&gt;J203),IF(AND(L203&gt;=I203,L203&lt;=J203),1,0),"")))</f>
        <v/>
      </c>
      <c r="W203" s="18" t="s">
        <v>425</v>
      </c>
      <c r="X203" s="0" t="str">
        <f aca="false">IF(OR(F203="qualitativ",F203="fehlend",NOT(ISNUMBER(L203))),"nicht auswertbar",IF(F203="Punkt","Punktprognose",IF(AND(ISNUMBER(I203),ISNUMBER(J203),I203&lt;&gt;J203),IF(L203&lt;I203,"unterhalb",IF(L203&gt;J203,"oberhalb","innerhalb")),"nicht auswertbar")))</f>
        <v>nicht auswertbar</v>
      </c>
      <c r="Y203" s="25" t="str">
        <f aca="false">IF(AND(ISNUMBER(S203),OR(G203="Marge %",G203="Wachstumsrate %")),ABS(S203),"")</f>
        <v/>
      </c>
      <c r="Z203" s="0" t="str">
        <f aca="false">IFERROR(VLOOKUP(A203,Unternehmen!$A:$D,4,FALSE()),"")</f>
        <v>Pharma &amp; Healthcare</v>
      </c>
    </row>
    <row r="204" customFormat="false" ht="15" hidden="false" customHeight="true" outlineLevel="0" collapsed="false">
      <c r="A204" s="15" t="s">
        <v>94</v>
      </c>
      <c r="B204" s="15" t="n">
        <v>2021</v>
      </c>
      <c r="C204" s="15" t="s">
        <v>15</v>
      </c>
      <c r="D204" s="15" t="s">
        <v>423</v>
      </c>
      <c r="E204" s="15" t="n">
        <v>144</v>
      </c>
      <c r="F204" s="15" t="s">
        <v>187</v>
      </c>
      <c r="G204" s="15" t="s">
        <v>177</v>
      </c>
      <c r="H204" s="15" t="s">
        <v>178</v>
      </c>
      <c r="I204" s="24"/>
      <c r="J204" s="24"/>
      <c r="K204" s="17" t="n">
        <f aca="false">L202</f>
        <v>17534</v>
      </c>
      <c r="L204" s="17" t="n">
        <v>19687</v>
      </c>
      <c r="M204" s="17" t="n">
        <f aca="false">L204-K204</f>
        <v>2153</v>
      </c>
      <c r="N204" s="22" t="s">
        <v>417</v>
      </c>
      <c r="O204" s="15" t="s">
        <v>426</v>
      </c>
      <c r="P204" s="15" t="n">
        <v>113</v>
      </c>
      <c r="Q204" s="18"/>
      <c r="R204" s="25" t="str">
        <f aca="false">IF(NOT(ISNUMBER(I204)),"",IF(F204="Mindestprognose",I204,IF(ISNUMBER(J204),(I204+J204)/2,I204)))</f>
        <v/>
      </c>
      <c r="S204" s="25" t="str">
        <f aca="false">IF(OR(R204="",NOT(ISNUMBER(L204))),"",R204-L204)</f>
        <v/>
      </c>
      <c r="T204" s="19" t="str">
        <f aca="false">IF(OR(S204="",G204&lt;&gt;"absolut",NOT(ISNUMBER(L204)),L204=0),"",S204/ABS(L204))</f>
        <v/>
      </c>
      <c r="U204" s="19" t="str">
        <f aca="false">IF(T204="","",ABS(T204))</f>
        <v/>
      </c>
      <c r="V204" s="20" t="str">
        <f aca="false">IF(OR(F204="Punkt",NOT(ISNUMBER(L204))),"",IF(F204="Mindestprognose",IF(L204&gt;=I204,1,0),IF(AND(ISNUMBER(I204),ISNUMBER(J204),I204&lt;&gt;J204),IF(AND(L204&gt;=I204,L204&lt;=J204),1,0),"")))</f>
        <v/>
      </c>
      <c r="W204" s="18" t="s">
        <v>425</v>
      </c>
      <c r="X204" s="0" t="str">
        <f aca="false">IF(OR(F204="qualitativ",F204="fehlend",NOT(ISNUMBER(L204))),"nicht auswertbar",IF(F204="Punkt","Punktprognose",IF(AND(ISNUMBER(I204),ISNUMBER(J204),I204&lt;&gt;J204),IF(L204&lt;I204,"unterhalb",IF(L204&gt;J204,"oberhalb","innerhalb")),"nicht auswertbar")))</f>
        <v>nicht auswertbar</v>
      </c>
      <c r="Y204" s="25" t="str">
        <f aca="false">IF(AND(ISNUMBER(S204),OR(G204="Marge %",G204="Wachstumsrate %")),ABS(S204),"")</f>
        <v/>
      </c>
      <c r="Z204" s="0" t="str">
        <f aca="false">IFERROR(VLOOKUP(A204,Unternehmen!$A:$D,4,FALSE()),"")</f>
        <v>Pharma &amp; Healthcare</v>
      </c>
    </row>
    <row r="205" customFormat="false" ht="15" hidden="false" customHeight="true" outlineLevel="0" collapsed="false">
      <c r="A205" s="15" t="s">
        <v>94</v>
      </c>
      <c r="B205" s="15" t="n">
        <v>2021</v>
      </c>
      <c r="C205" s="15" t="s">
        <v>158</v>
      </c>
      <c r="D205" s="15" t="s">
        <v>423</v>
      </c>
      <c r="E205" s="15" t="n">
        <v>144</v>
      </c>
      <c r="F205" s="15" t="s">
        <v>187</v>
      </c>
      <c r="G205" s="15" t="s">
        <v>177</v>
      </c>
      <c r="H205" s="15" t="s">
        <v>178</v>
      </c>
      <c r="I205" s="24"/>
      <c r="J205" s="24"/>
      <c r="K205" s="17" t="n">
        <f aca="false">L203</f>
        <v>5201</v>
      </c>
      <c r="L205" s="17" t="n">
        <v>6103</v>
      </c>
      <c r="M205" s="17" t="n">
        <f aca="false">L205-K205</f>
        <v>902</v>
      </c>
      <c r="N205" s="23" t="s">
        <v>174</v>
      </c>
      <c r="O205" s="15" t="s">
        <v>426</v>
      </c>
      <c r="P205" s="15" t="n">
        <v>113</v>
      </c>
      <c r="Q205" s="18"/>
      <c r="R205" s="25" t="str">
        <f aca="false">IF(NOT(ISNUMBER(I205)),"",IF(F205="Mindestprognose",I205,IF(ISNUMBER(J205),(I205+J205)/2,I205)))</f>
        <v/>
      </c>
      <c r="S205" s="25" t="str">
        <f aca="false">IF(OR(R205="",NOT(ISNUMBER(L205))),"",R205-L205)</f>
        <v/>
      </c>
      <c r="T205" s="19" t="str">
        <f aca="false">IF(OR(S205="",G205&lt;&gt;"absolut",NOT(ISNUMBER(L205)),L205=0),"",S205/ABS(L205))</f>
        <v/>
      </c>
      <c r="U205" s="19" t="str">
        <f aca="false">IF(T205="","",ABS(T205))</f>
        <v/>
      </c>
      <c r="V205" s="20" t="str">
        <f aca="false">IF(OR(F205="Punkt",NOT(ISNUMBER(L205))),"",IF(F205="Mindestprognose",IF(L205&gt;=I205,1,0),IF(AND(ISNUMBER(I205),ISNUMBER(J205),I205&lt;&gt;J205),IF(AND(L205&gt;=I205,L205&lt;=J205),1,0),"")))</f>
        <v/>
      </c>
      <c r="W205" s="18" t="s">
        <v>427</v>
      </c>
      <c r="X205" s="0" t="str">
        <f aca="false">IF(OR(F205="qualitativ",F205="fehlend",NOT(ISNUMBER(L205))),"nicht auswertbar",IF(F205="Punkt","Punktprognose",IF(AND(ISNUMBER(I205),ISNUMBER(J205),I205&lt;&gt;J205),IF(L205&lt;I205,"unterhalb",IF(L205&gt;J205,"oberhalb","innerhalb")),"nicht auswertbar")))</f>
        <v>nicht auswertbar</v>
      </c>
      <c r="Y205" s="25" t="str">
        <f aca="false">IF(AND(ISNUMBER(S205),OR(G205="Marge %",G205="Wachstumsrate %")),ABS(S205),"")</f>
        <v/>
      </c>
      <c r="Z205" s="0" t="str">
        <f aca="false">IFERROR(VLOOKUP(A205,Unternehmen!$A:$D,4,FALSE()),"")</f>
        <v>Pharma &amp; Healthcare</v>
      </c>
    </row>
    <row r="206" customFormat="false" ht="15" hidden="false" customHeight="true" outlineLevel="0" collapsed="false">
      <c r="A206" s="15" t="s">
        <v>94</v>
      </c>
      <c r="B206" s="15" t="n">
        <v>2022</v>
      </c>
      <c r="C206" s="15" t="s">
        <v>15</v>
      </c>
      <c r="D206" s="15" t="s">
        <v>426</v>
      </c>
      <c r="E206" s="15" t="n">
        <v>113</v>
      </c>
      <c r="F206" s="15" t="s">
        <v>187</v>
      </c>
      <c r="G206" s="15" t="s">
        <v>177</v>
      </c>
      <c r="H206" s="15" t="s">
        <v>178</v>
      </c>
      <c r="I206" s="24"/>
      <c r="J206" s="24"/>
      <c r="K206" s="17" t="n">
        <f aca="false">L204</f>
        <v>19687</v>
      </c>
      <c r="L206" s="17" t="n">
        <v>22232</v>
      </c>
      <c r="M206" s="17" t="n">
        <f aca="false">L206-K206</f>
        <v>2545</v>
      </c>
      <c r="N206" s="22" t="s">
        <v>417</v>
      </c>
      <c r="O206" s="15" t="s">
        <v>428</v>
      </c>
      <c r="P206" s="15" t="n">
        <v>113</v>
      </c>
      <c r="Q206" s="18"/>
      <c r="R206" s="25" t="str">
        <f aca="false">IF(NOT(ISNUMBER(I206)),"",IF(F206="Mindestprognose",I206,IF(ISNUMBER(J206),(I206+J206)/2,I206)))</f>
        <v/>
      </c>
      <c r="S206" s="25" t="str">
        <f aca="false">IF(OR(R206="",NOT(ISNUMBER(L206))),"",R206-L206)</f>
        <v/>
      </c>
      <c r="T206" s="19" t="str">
        <f aca="false">IF(OR(S206="",G206&lt;&gt;"absolut",NOT(ISNUMBER(L206)),L206=0),"",S206/ABS(L206))</f>
        <v/>
      </c>
      <c r="U206" s="19" t="str">
        <f aca="false">IF(T206="","",ABS(T206))</f>
        <v/>
      </c>
      <c r="V206" s="20" t="str">
        <f aca="false">IF(OR(F206="Punkt",NOT(ISNUMBER(L206))),"",IF(F206="Mindestprognose",IF(L206&gt;=I206,1,0),IF(AND(ISNUMBER(I206),ISNUMBER(J206),I206&lt;&gt;J206),IF(AND(L206&gt;=I206,L206&lt;=J206),1,0),"")))</f>
        <v/>
      </c>
      <c r="W206" s="18" t="s">
        <v>425</v>
      </c>
      <c r="X206" s="0" t="str">
        <f aca="false">IF(OR(F206="qualitativ",F206="fehlend",NOT(ISNUMBER(L206))),"nicht auswertbar",IF(F206="Punkt","Punktprognose",IF(AND(ISNUMBER(I206),ISNUMBER(J206),I206&lt;&gt;J206),IF(L206&lt;I206,"unterhalb",IF(L206&gt;J206,"oberhalb","innerhalb")),"nicht auswertbar")))</f>
        <v>nicht auswertbar</v>
      </c>
      <c r="Y206" s="25" t="str">
        <f aca="false">IF(AND(ISNUMBER(S206),OR(G206="Marge %",G206="Wachstumsrate %")),ABS(S206),"")</f>
        <v/>
      </c>
      <c r="Z206" s="0" t="str">
        <f aca="false">IFERROR(VLOOKUP(A206,Unternehmen!$A:$D,4,FALSE()),"")</f>
        <v>Pharma &amp; Healthcare</v>
      </c>
    </row>
    <row r="207" customFormat="false" ht="15" hidden="false" customHeight="true" outlineLevel="0" collapsed="false">
      <c r="A207" s="15" t="s">
        <v>94</v>
      </c>
      <c r="B207" s="15" t="n">
        <v>2022</v>
      </c>
      <c r="C207" s="15" t="s">
        <v>158</v>
      </c>
      <c r="D207" s="15" t="s">
        <v>426</v>
      </c>
      <c r="E207" s="15" t="n">
        <v>113</v>
      </c>
      <c r="F207" s="15" t="s">
        <v>187</v>
      </c>
      <c r="G207" s="15" t="s">
        <v>177</v>
      </c>
      <c r="H207" s="15" t="s">
        <v>178</v>
      </c>
      <c r="I207" s="24"/>
      <c r="J207" s="24"/>
      <c r="K207" s="17" t="n">
        <f aca="false">L205</f>
        <v>6103</v>
      </c>
      <c r="L207" s="17" t="n">
        <v>6849</v>
      </c>
      <c r="M207" s="17" t="n">
        <f aca="false">L207-K207</f>
        <v>746</v>
      </c>
      <c r="N207" s="22" t="s">
        <v>417</v>
      </c>
      <c r="O207" s="15" t="s">
        <v>428</v>
      </c>
      <c r="P207" s="15" t="n">
        <v>113</v>
      </c>
      <c r="Q207" s="18"/>
      <c r="R207" s="25" t="str">
        <f aca="false">IF(NOT(ISNUMBER(I207)),"",IF(F207="Mindestprognose",I207,IF(ISNUMBER(J207),(I207+J207)/2,I207)))</f>
        <v/>
      </c>
      <c r="S207" s="25" t="str">
        <f aca="false">IF(OR(R207="",NOT(ISNUMBER(L207))),"",R207-L207)</f>
        <v/>
      </c>
      <c r="T207" s="19" t="str">
        <f aca="false">IF(OR(S207="",G207&lt;&gt;"absolut",NOT(ISNUMBER(L207)),L207=0),"",S207/ABS(L207))</f>
        <v/>
      </c>
      <c r="U207" s="19" t="str">
        <f aca="false">IF(T207="","",ABS(T207))</f>
        <v/>
      </c>
      <c r="V207" s="20" t="str">
        <f aca="false">IF(OR(F207="Punkt",NOT(ISNUMBER(L207))),"",IF(F207="Mindestprognose",IF(L207&gt;=I207,1,0),IF(AND(ISNUMBER(I207),ISNUMBER(J207),I207&lt;&gt;J207),IF(AND(L207&gt;=I207,L207&lt;=J207),1,0),"")))</f>
        <v/>
      </c>
      <c r="W207" s="18" t="s">
        <v>425</v>
      </c>
      <c r="X207" s="0" t="str">
        <f aca="false">IF(OR(F207="qualitativ",F207="fehlend",NOT(ISNUMBER(L207))),"nicht auswertbar",IF(F207="Punkt","Punktprognose",IF(AND(ISNUMBER(I207),ISNUMBER(J207),I207&lt;&gt;J207),IF(L207&lt;I207,"unterhalb",IF(L207&gt;J207,"oberhalb","innerhalb")),"nicht auswertbar")))</f>
        <v>nicht auswertbar</v>
      </c>
      <c r="Y207" s="25" t="str">
        <f aca="false">IF(AND(ISNUMBER(S207),OR(G207="Marge %",G207="Wachstumsrate %")),ABS(S207),"")</f>
        <v/>
      </c>
      <c r="Z207" s="0" t="str">
        <f aca="false">IFERROR(VLOOKUP(A207,Unternehmen!$A:$D,4,FALSE()),"")</f>
        <v>Pharma &amp; Healthcare</v>
      </c>
    </row>
    <row r="208" customFormat="false" ht="15" hidden="false" customHeight="true" outlineLevel="0" collapsed="false">
      <c r="A208" s="15" t="s">
        <v>94</v>
      </c>
      <c r="B208" s="15" t="n">
        <v>2023</v>
      </c>
      <c r="C208" s="15" t="s">
        <v>15</v>
      </c>
      <c r="D208" s="15" t="s">
        <v>428</v>
      </c>
      <c r="E208" s="15" t="n">
        <v>113</v>
      </c>
      <c r="F208" s="15" t="s">
        <v>187</v>
      </c>
      <c r="G208" s="15" t="s">
        <v>177</v>
      </c>
      <c r="H208" s="15" t="s">
        <v>178</v>
      </c>
      <c r="I208" s="24"/>
      <c r="J208" s="24"/>
      <c r="K208" s="17" t="n">
        <f aca="false">L206</f>
        <v>22232</v>
      </c>
      <c r="L208" s="17" t="n">
        <v>20993</v>
      </c>
      <c r="M208" s="17" t="n">
        <f aca="false">L208-K208</f>
        <v>-1239</v>
      </c>
      <c r="N208" s="21" t="s">
        <v>351</v>
      </c>
      <c r="O208" s="15" t="s">
        <v>429</v>
      </c>
      <c r="P208" s="15" t="n">
        <v>267</v>
      </c>
      <c r="Q208" s="18"/>
      <c r="R208" s="25" t="str">
        <f aca="false">IF(NOT(ISNUMBER(I208)),"",IF(F208="Mindestprognose",I208,IF(ISNUMBER(J208),(I208+J208)/2,I208)))</f>
        <v/>
      </c>
      <c r="S208" s="25" t="str">
        <f aca="false">IF(OR(R208="",NOT(ISNUMBER(L208))),"",R208-L208)</f>
        <v/>
      </c>
      <c r="T208" s="19" t="str">
        <f aca="false">IF(OR(S208="",G208&lt;&gt;"absolut",NOT(ISNUMBER(L208)),L208=0),"",S208/ABS(L208))</f>
        <v/>
      </c>
      <c r="U208" s="19" t="str">
        <f aca="false">IF(T208="","",ABS(T208))</f>
        <v/>
      </c>
      <c r="V208" s="20" t="str">
        <f aca="false">IF(OR(F208="Punkt",NOT(ISNUMBER(L208))),"",IF(F208="Mindestprognose",IF(L208&gt;=I208,1,0),IF(AND(ISNUMBER(I208),ISNUMBER(J208),I208&lt;&gt;J208),IF(AND(L208&gt;=I208,L208&lt;=J208),1,0),"")))</f>
        <v/>
      </c>
      <c r="W208" s="18" t="s">
        <v>430</v>
      </c>
      <c r="X208" s="0" t="str">
        <f aca="false">IF(OR(F208="qualitativ",F208="fehlend",NOT(ISNUMBER(L208))),"nicht auswertbar",IF(F208="Punkt","Punktprognose",IF(AND(ISNUMBER(I208),ISNUMBER(J208),I208&lt;&gt;J208),IF(L208&lt;I208,"unterhalb",IF(L208&gt;J208,"oberhalb","innerhalb")),"nicht auswertbar")))</f>
        <v>nicht auswertbar</v>
      </c>
      <c r="Y208" s="25" t="str">
        <f aca="false">IF(AND(ISNUMBER(S208),OR(G208="Marge %",G208="Wachstumsrate %")),ABS(S208),"")</f>
        <v/>
      </c>
      <c r="Z208" s="0" t="str">
        <f aca="false">IFERROR(VLOOKUP(A208,Unternehmen!$A:$D,4,FALSE()),"")</f>
        <v>Pharma &amp; Healthcare</v>
      </c>
    </row>
    <row r="209" customFormat="false" ht="15" hidden="false" customHeight="true" outlineLevel="0" collapsed="false">
      <c r="A209" s="15" t="s">
        <v>94</v>
      </c>
      <c r="B209" s="15" t="n">
        <v>2023</v>
      </c>
      <c r="C209" s="15" t="s">
        <v>158</v>
      </c>
      <c r="D209" s="15" t="s">
        <v>428</v>
      </c>
      <c r="E209" s="15" t="n">
        <v>113</v>
      </c>
      <c r="F209" s="15" t="s">
        <v>187</v>
      </c>
      <c r="G209" s="15" t="s">
        <v>177</v>
      </c>
      <c r="H209" s="15" t="s">
        <v>178</v>
      </c>
      <c r="I209" s="24"/>
      <c r="J209" s="24"/>
      <c r="K209" s="17" t="n">
        <f aca="false">L207</f>
        <v>6849</v>
      </c>
      <c r="L209" s="17" t="n">
        <v>5879</v>
      </c>
      <c r="M209" s="17" t="n">
        <f aca="false">L209-K209</f>
        <v>-970</v>
      </c>
      <c r="N209" s="22" t="s">
        <v>164</v>
      </c>
      <c r="O209" s="15" t="s">
        <v>429</v>
      </c>
      <c r="P209" s="15" t="n">
        <v>267</v>
      </c>
      <c r="Q209" s="18"/>
      <c r="R209" s="25" t="str">
        <f aca="false">IF(NOT(ISNUMBER(I209)),"",IF(F209="Mindestprognose",I209,IF(ISNUMBER(J209),(I209+J209)/2,I209)))</f>
        <v/>
      </c>
      <c r="S209" s="25" t="str">
        <f aca="false">IF(OR(R209="",NOT(ISNUMBER(L209))),"",R209-L209)</f>
        <v/>
      </c>
      <c r="T209" s="19" t="str">
        <f aca="false">IF(OR(S209="",G209&lt;&gt;"absolut",NOT(ISNUMBER(L209)),L209=0),"",S209/ABS(L209))</f>
        <v/>
      </c>
      <c r="U209" s="19" t="str">
        <f aca="false">IF(T209="","",ABS(T209))</f>
        <v/>
      </c>
      <c r="V209" s="20" t="str">
        <f aca="false">IF(OR(F209="Punkt",NOT(ISNUMBER(L209))),"",IF(F209="Mindestprognose",IF(L209&gt;=I209,1,0),IF(AND(ISNUMBER(I209),ISNUMBER(J209),I209&lt;&gt;J209),IF(AND(L209&gt;=I209,L209&lt;=J209),1,0),"")))</f>
        <v/>
      </c>
      <c r="W209" s="18" t="s">
        <v>431</v>
      </c>
      <c r="X209" s="0" t="str">
        <f aca="false">IF(OR(F209="qualitativ",F209="fehlend",NOT(ISNUMBER(L209))),"nicht auswertbar",IF(F209="Punkt","Punktprognose",IF(AND(ISNUMBER(I209),ISNUMBER(J209),I209&lt;&gt;J209),IF(L209&lt;I209,"unterhalb",IF(L209&gt;J209,"oberhalb","innerhalb")),"nicht auswertbar")))</f>
        <v>nicht auswertbar</v>
      </c>
      <c r="Y209" s="25" t="str">
        <f aca="false">IF(AND(ISNUMBER(S209),OR(G209="Marge %",G209="Wachstumsrate %")),ABS(S209),"")</f>
        <v/>
      </c>
      <c r="Z209" s="0" t="str">
        <f aca="false">IFERROR(VLOOKUP(A209,Unternehmen!$A:$D,4,FALSE()),"")</f>
        <v>Pharma &amp; Healthcare</v>
      </c>
    </row>
    <row r="210" customFormat="false" ht="15" hidden="false" customHeight="true" outlineLevel="0" collapsed="false">
      <c r="A210" s="15" t="s">
        <v>94</v>
      </c>
      <c r="B210" s="15" t="n">
        <v>2024</v>
      </c>
      <c r="C210" s="15" t="s">
        <v>15</v>
      </c>
      <c r="D210" s="15" t="s">
        <v>429</v>
      </c>
      <c r="E210" s="15" t="n">
        <v>107</v>
      </c>
      <c r="F210" s="15" t="s">
        <v>187</v>
      </c>
      <c r="G210" s="15" t="s">
        <v>177</v>
      </c>
      <c r="H210" s="15" t="s">
        <v>178</v>
      </c>
      <c r="I210" s="24"/>
      <c r="J210" s="24"/>
      <c r="K210" s="17" t="n">
        <f aca="false">L208</f>
        <v>20993</v>
      </c>
      <c r="L210" s="17" t="n">
        <v>21156</v>
      </c>
      <c r="M210" s="17" t="n">
        <f aca="false">L210-K210</f>
        <v>163</v>
      </c>
      <c r="N210" s="22" t="s">
        <v>164</v>
      </c>
      <c r="O210" s="15" t="s">
        <v>432</v>
      </c>
      <c r="P210" s="15" t="n">
        <v>433</v>
      </c>
      <c r="Q210" s="18"/>
      <c r="R210" s="25" t="str">
        <f aca="false">IF(NOT(ISNUMBER(I210)),"",IF(F210="Mindestprognose",I210,IF(ISNUMBER(J210),(I210+J210)/2,I210)))</f>
        <v/>
      </c>
      <c r="S210" s="25" t="str">
        <f aca="false">IF(OR(R210="",NOT(ISNUMBER(L210))),"",R210-L210)</f>
        <v/>
      </c>
      <c r="T210" s="19" t="str">
        <f aca="false">IF(OR(S210="",G210&lt;&gt;"absolut",NOT(ISNUMBER(L210)),L210=0),"",S210/ABS(L210))</f>
        <v/>
      </c>
      <c r="U210" s="19" t="str">
        <f aca="false">IF(T210="","",ABS(T210))</f>
        <v/>
      </c>
      <c r="V210" s="20" t="str">
        <f aca="false">IF(OR(F210="Punkt",NOT(ISNUMBER(L210))),"",IF(F210="Mindestprognose",IF(L210&gt;=I210,1,0),IF(AND(ISNUMBER(I210),ISNUMBER(J210),I210&lt;&gt;J210),IF(AND(L210&gt;=I210,L210&lt;=J210),1,0),"")))</f>
        <v/>
      </c>
      <c r="W210" s="18" t="s">
        <v>433</v>
      </c>
      <c r="X210" s="0" t="str">
        <f aca="false">IF(OR(F210="qualitativ",F210="fehlend",NOT(ISNUMBER(L210))),"nicht auswertbar",IF(F210="Punkt","Punktprognose",IF(AND(ISNUMBER(I210),ISNUMBER(J210),I210&lt;&gt;J210),IF(L210&lt;I210,"unterhalb",IF(L210&gt;J210,"oberhalb","innerhalb")),"nicht auswertbar")))</f>
        <v>nicht auswertbar</v>
      </c>
      <c r="Y210" s="25" t="str">
        <f aca="false">IF(AND(ISNUMBER(S210),OR(G210="Marge %",G210="Wachstumsrate %")),ABS(S210),"")</f>
        <v/>
      </c>
      <c r="Z210" s="0" t="str">
        <f aca="false">IFERROR(VLOOKUP(A210,Unternehmen!$A:$D,4,FALSE()),"")</f>
        <v>Pharma &amp; Healthcare</v>
      </c>
    </row>
    <row r="211" customFormat="false" ht="15" hidden="false" customHeight="true" outlineLevel="0" collapsed="false">
      <c r="A211" s="15" t="s">
        <v>94</v>
      </c>
      <c r="B211" s="15" t="n">
        <v>2024</v>
      </c>
      <c r="C211" s="15" t="s">
        <v>158</v>
      </c>
      <c r="D211" s="15" t="s">
        <v>429</v>
      </c>
      <c r="E211" s="15" t="n">
        <v>107</v>
      </c>
      <c r="F211" s="15" t="s">
        <v>187</v>
      </c>
      <c r="G211" s="15" t="s">
        <v>177</v>
      </c>
      <c r="H211" s="15" t="s">
        <v>178</v>
      </c>
      <c r="I211" s="24"/>
      <c r="J211" s="24"/>
      <c r="K211" s="17" t="n">
        <f aca="false">L209</f>
        <v>5879</v>
      </c>
      <c r="L211" s="17" t="n">
        <v>6072</v>
      </c>
      <c r="M211" s="17" t="n">
        <f aca="false">L211-K211</f>
        <v>193</v>
      </c>
      <c r="N211" s="22" t="s">
        <v>164</v>
      </c>
      <c r="O211" s="15" t="s">
        <v>432</v>
      </c>
      <c r="P211" s="15" t="n">
        <v>433</v>
      </c>
      <c r="Q211" s="18"/>
      <c r="R211" s="25" t="str">
        <f aca="false">IF(NOT(ISNUMBER(I211)),"",IF(F211="Mindestprognose",I211,IF(ISNUMBER(J211),(I211+J211)/2,I211)))</f>
        <v/>
      </c>
      <c r="S211" s="25" t="str">
        <f aca="false">IF(OR(R211="",NOT(ISNUMBER(L211))),"",R211-L211)</f>
        <v/>
      </c>
      <c r="T211" s="19" t="str">
        <f aca="false">IF(OR(S211="",G211&lt;&gt;"absolut",NOT(ISNUMBER(L211)),L211=0),"",S211/ABS(L211))</f>
        <v/>
      </c>
      <c r="U211" s="19" t="str">
        <f aca="false">IF(T211="","",ABS(T211))</f>
        <v/>
      </c>
      <c r="V211" s="20" t="str">
        <f aca="false">IF(OR(F211="Punkt",NOT(ISNUMBER(L211))),"",IF(F211="Mindestprognose",IF(L211&gt;=I211,1,0),IF(AND(ISNUMBER(I211),ISNUMBER(J211),I211&lt;&gt;J211),IF(AND(L211&gt;=I211,L211&lt;=J211),1,0),"")))</f>
        <v/>
      </c>
      <c r="W211" s="18" t="s">
        <v>433</v>
      </c>
      <c r="X211" s="0" t="str">
        <f aca="false">IF(OR(F211="qualitativ",F211="fehlend",NOT(ISNUMBER(L211))),"nicht auswertbar",IF(F211="Punkt","Punktprognose",IF(AND(ISNUMBER(I211),ISNUMBER(J211),I211&lt;&gt;J211),IF(L211&lt;I211,"unterhalb",IF(L211&gt;J211,"oberhalb","innerhalb")),"nicht auswertbar")))</f>
        <v>nicht auswertbar</v>
      </c>
      <c r="Y211" s="25" t="str">
        <f aca="false">IF(AND(ISNUMBER(S211),OR(G211="Marge %",G211="Wachstumsrate %")),ABS(S211),"")</f>
        <v/>
      </c>
      <c r="Z211" s="0" t="str">
        <f aca="false">IFERROR(VLOOKUP(A211,Unternehmen!$A:$D,4,FALSE()),"")</f>
        <v>Pharma &amp; Healthcare</v>
      </c>
    </row>
    <row r="212" customFormat="false" ht="15" hidden="false" customHeight="true" outlineLevel="0" collapsed="false">
      <c r="A212" s="15" t="s">
        <v>97</v>
      </c>
      <c r="B212" s="15" t="n">
        <v>2020</v>
      </c>
      <c r="C212" s="15" t="s">
        <v>15</v>
      </c>
      <c r="D212" s="15" t="s">
        <v>434</v>
      </c>
      <c r="E212" s="15" t="n">
        <v>78</v>
      </c>
      <c r="F212" s="15" t="s">
        <v>187</v>
      </c>
      <c r="G212" s="15" t="s">
        <v>177</v>
      </c>
      <c r="H212" s="15" t="s">
        <v>178</v>
      </c>
      <c r="I212" s="24"/>
      <c r="J212" s="24"/>
      <c r="K212" s="17" t="n">
        <v>4628.4</v>
      </c>
      <c r="L212" s="17" t="n">
        <v>3977</v>
      </c>
      <c r="M212" s="17" t="n">
        <f aca="false">L212-K212</f>
        <v>-651.4</v>
      </c>
      <c r="N212" s="21" t="s">
        <v>351</v>
      </c>
      <c r="O212" s="15" t="s">
        <v>435</v>
      </c>
      <c r="P212" s="15" t="n">
        <v>2</v>
      </c>
      <c r="Q212" s="18"/>
      <c r="R212" s="25" t="str">
        <f aca="false">IF(NOT(ISNUMBER(I212)),"",IF(F212="Mindestprognose",I212,IF(ISNUMBER(J212),(I212+J212)/2,I212)))</f>
        <v/>
      </c>
      <c r="S212" s="25" t="str">
        <f aca="false">IF(OR(R212="",NOT(ISNUMBER(L212))),"",R212-L212)</f>
        <v/>
      </c>
      <c r="T212" s="19" t="str">
        <f aca="false">IF(OR(S212="",G212&lt;&gt;"absolut",NOT(ISNUMBER(L212)),L212=0),"",S212/ABS(L212))</f>
        <v/>
      </c>
      <c r="U212" s="19" t="str">
        <f aca="false">IF(T212="","",ABS(T212))</f>
        <v/>
      </c>
      <c r="V212" s="20" t="str">
        <f aca="false">IF(OR(F212="Punkt",NOT(ISNUMBER(L212))),"",IF(F212="Mindestprognose",IF(L212&gt;=I212,1,0),IF(AND(ISNUMBER(I212),ISNUMBER(J212),I212&lt;&gt;J212),IF(AND(L212&gt;=I212,L212&lt;=J212),1,0),"")))</f>
        <v/>
      </c>
      <c r="W212" s="18" t="s">
        <v>436</v>
      </c>
      <c r="X212" s="0" t="str">
        <f aca="false">IF(OR(F212="qualitativ",F212="fehlend",NOT(ISNUMBER(L212))),"nicht auswertbar",IF(F212="Punkt","Punktprognose",IF(AND(ISNUMBER(I212),ISNUMBER(J212),I212&lt;&gt;J212),IF(L212&lt;I212,"unterhalb",IF(L212&gt;J212,"oberhalb","innerhalb")),"nicht auswertbar")))</f>
        <v>nicht auswertbar</v>
      </c>
      <c r="Y212" s="25" t="str">
        <f aca="false">IF(AND(ISNUMBER(S212),OR(G212="Marge %",G212="Wachstumsrate %")),ABS(S212),"")</f>
        <v/>
      </c>
      <c r="Z212" s="0" t="str">
        <f aca="false">IFERROR(VLOOKUP(A212,Unternehmen!$A:$D,4,FALSE()),"")</f>
        <v>Industrie</v>
      </c>
    </row>
    <row r="213" customFormat="false" ht="15" hidden="false" customHeight="true" outlineLevel="0" collapsed="false">
      <c r="A213" s="15" t="s">
        <v>97</v>
      </c>
      <c r="B213" s="15" t="n">
        <v>2020</v>
      </c>
      <c r="C213" s="15" t="s">
        <v>158</v>
      </c>
      <c r="D213" s="15" t="s">
        <v>434</v>
      </c>
      <c r="E213" s="15" t="n">
        <v>78</v>
      </c>
      <c r="F213" s="15" t="s">
        <v>187</v>
      </c>
      <c r="G213" s="15" t="s">
        <v>177</v>
      </c>
      <c r="H213" s="15" t="s">
        <v>178</v>
      </c>
      <c r="I213" s="24"/>
      <c r="J213" s="24"/>
      <c r="K213" s="17" t="n">
        <v>756.9</v>
      </c>
      <c r="L213" s="17" t="n">
        <v>416</v>
      </c>
      <c r="M213" s="17" t="n">
        <f aca="false">L213-K213</f>
        <v>-340.9</v>
      </c>
      <c r="N213" s="21" t="s">
        <v>351</v>
      </c>
      <c r="O213" s="15" t="s">
        <v>435</v>
      </c>
      <c r="P213" s="15" t="n">
        <v>2</v>
      </c>
      <c r="Q213" s="18"/>
      <c r="R213" s="25" t="str">
        <f aca="false">IF(NOT(ISNUMBER(I213)),"",IF(F213="Mindestprognose",I213,IF(ISNUMBER(J213),(I213+J213)/2,I213)))</f>
        <v/>
      </c>
      <c r="S213" s="25" t="str">
        <f aca="false">IF(OR(R213="",NOT(ISNUMBER(L213))),"",R213-L213)</f>
        <v/>
      </c>
      <c r="T213" s="19" t="str">
        <f aca="false">IF(OR(S213="",G213&lt;&gt;"absolut",NOT(ISNUMBER(L213)),L213=0),"",S213/ABS(L213))</f>
        <v/>
      </c>
      <c r="U213" s="19" t="str">
        <f aca="false">IF(T213="","",ABS(T213))</f>
        <v/>
      </c>
      <c r="V213" s="20" t="str">
        <f aca="false">IF(OR(F213="Punkt",NOT(ISNUMBER(L213))),"",IF(F213="Mindestprognose",IF(L213&gt;=I213,1,0),IF(AND(ISNUMBER(I213),ISNUMBER(J213),I213&lt;&gt;J213),IF(AND(L213&gt;=I213,L213&lt;=J213),1,0),"")))</f>
        <v/>
      </c>
      <c r="W213" s="18" t="s">
        <v>437</v>
      </c>
      <c r="X213" s="0" t="str">
        <f aca="false">IF(OR(F213="qualitativ",F213="fehlend",NOT(ISNUMBER(L213))),"nicht auswertbar",IF(F213="Punkt","Punktprognose",IF(AND(ISNUMBER(I213),ISNUMBER(J213),I213&lt;&gt;J213),IF(L213&lt;I213,"unterhalb",IF(L213&gt;J213,"oberhalb","innerhalb")),"nicht auswertbar")))</f>
        <v>nicht auswertbar</v>
      </c>
      <c r="Y213" s="25" t="str">
        <f aca="false">IF(AND(ISNUMBER(S213),OR(G213="Marge %",G213="Wachstumsrate %")),ABS(S213),"")</f>
        <v/>
      </c>
      <c r="Z213" s="0" t="str">
        <f aca="false">IFERROR(VLOOKUP(A213,Unternehmen!$A:$D,4,FALSE()),"")</f>
        <v>Industrie</v>
      </c>
    </row>
    <row r="214" customFormat="false" ht="15" hidden="false" customHeight="true" outlineLevel="0" collapsed="false">
      <c r="A214" s="15" t="s">
        <v>97</v>
      </c>
      <c r="B214" s="15" t="n">
        <v>2021</v>
      </c>
      <c r="C214" s="15" t="s">
        <v>15</v>
      </c>
      <c r="D214" s="15" t="s">
        <v>435</v>
      </c>
      <c r="E214" s="15" t="n">
        <v>58</v>
      </c>
      <c r="F214" s="15" t="s">
        <v>183</v>
      </c>
      <c r="G214" s="15" t="s">
        <v>177</v>
      </c>
      <c r="H214" s="15" t="s">
        <v>178</v>
      </c>
      <c r="I214" s="17" t="n">
        <v>4200</v>
      </c>
      <c r="J214" s="17" t="n">
        <v>4600</v>
      </c>
      <c r="K214" s="17" t="n">
        <f aca="false">L212</f>
        <v>3977</v>
      </c>
      <c r="L214" s="17" t="n">
        <v>4118</v>
      </c>
      <c r="M214" s="17" t="n">
        <f aca="false">L214-K214</f>
        <v>141</v>
      </c>
      <c r="N214" s="31" t="s">
        <v>438</v>
      </c>
      <c r="O214" s="15" t="s">
        <v>439</v>
      </c>
      <c r="P214" s="15" t="n">
        <v>2</v>
      </c>
      <c r="Q214" s="18"/>
      <c r="R214" s="25" t="n">
        <f aca="false">IF(NOT(ISNUMBER(I214)),"",IF(F214="Mindestprognose",I214,IF(ISNUMBER(J214),(I214+J214)/2,I214)))</f>
        <v>4400</v>
      </c>
      <c r="S214" s="25" t="n">
        <f aca="false">IF(OR(R214="",NOT(ISNUMBER(L214))),"",R214-L214)</f>
        <v>282</v>
      </c>
      <c r="T214" s="19" t="n">
        <f aca="false">IF(OR(S214="",G214&lt;&gt;"absolut",NOT(ISNUMBER(L214)),L214=0),"",S214/ABS(L214))</f>
        <v>0.0684798445847499</v>
      </c>
      <c r="U214" s="19" t="n">
        <f aca="false">IF(T214="","",ABS(T214))</f>
        <v>0.0684798445847499</v>
      </c>
      <c r="V214" s="20" t="n">
        <f aca="false">IF(OR(F214="Punkt",NOT(ISNUMBER(L214))),"",IF(F214="Mindestprognose",IF(L214&gt;=I214,1,0),IF(AND(ISNUMBER(I214),ISNUMBER(J214),I214&lt;&gt;J214),IF(AND(L214&gt;=I214,L214&lt;=J214),1,0),"")))</f>
        <v>0</v>
      </c>
      <c r="W214" s="18"/>
      <c r="X214" s="0" t="str">
        <f aca="false">IF(OR(F214="qualitativ",F214="fehlend",NOT(ISNUMBER(L214))),"nicht auswertbar",IF(F214="Punkt","Punktprognose",IF(AND(ISNUMBER(I214),ISNUMBER(J214),I214&lt;&gt;J214),IF(L214&lt;I214,"unterhalb",IF(L214&gt;J214,"oberhalb","innerhalb")),"nicht auswertbar")))</f>
        <v>unterhalb</v>
      </c>
      <c r="Y214" s="25" t="str">
        <f aca="false">IF(AND(ISNUMBER(S214),OR(G214="Marge %",G214="Wachstumsrate %")),ABS(S214),"")</f>
        <v/>
      </c>
      <c r="Z214" s="0" t="str">
        <f aca="false">IFERROR(VLOOKUP(A214,Unternehmen!$A:$D,4,FALSE()),"")</f>
        <v>Industrie</v>
      </c>
    </row>
    <row r="215" customFormat="false" ht="15" hidden="false" customHeight="true" outlineLevel="0" collapsed="false">
      <c r="A215" s="15" t="s">
        <v>97</v>
      </c>
      <c r="B215" s="15" t="n">
        <v>2021</v>
      </c>
      <c r="C215" s="15" t="s">
        <v>158</v>
      </c>
      <c r="D215" s="15" t="s">
        <v>435</v>
      </c>
      <c r="E215" s="15" t="n">
        <v>58</v>
      </c>
      <c r="F215" s="15" t="s">
        <v>153</v>
      </c>
      <c r="G215" s="15" t="s">
        <v>159</v>
      </c>
      <c r="H215" s="15" t="s">
        <v>160</v>
      </c>
      <c r="I215" s="16" t="n">
        <v>0.095</v>
      </c>
      <c r="J215" s="16" t="n">
        <v>0.105</v>
      </c>
      <c r="K215" s="16" t="n">
        <v>0.105</v>
      </c>
      <c r="L215" s="16" t="n">
        <v>0.112</v>
      </c>
      <c r="M215" s="16" t="s">
        <v>270</v>
      </c>
      <c r="N215" s="23" t="s">
        <v>174</v>
      </c>
      <c r="O215" s="15" t="s">
        <v>439</v>
      </c>
      <c r="P215" s="15" t="n">
        <v>2</v>
      </c>
      <c r="Q215" s="18"/>
      <c r="R215" s="19" t="n">
        <f aca="false">IF(NOT(ISNUMBER(I215)),"",IF(F215="Mindestprognose",I215,IF(ISNUMBER(J215),(I215+J215)/2,I215)))</f>
        <v>0.1</v>
      </c>
      <c r="S215" s="19" t="n">
        <f aca="false">IF(OR(R215="",NOT(ISNUMBER(L215))),"",R215-L215)</f>
        <v>-0.012</v>
      </c>
      <c r="T215" s="19" t="str">
        <f aca="false">IF(OR(S215="",G215&lt;&gt;"absolut",NOT(ISNUMBER(L215)),L215=0),"",S215/ABS(L215))</f>
        <v/>
      </c>
      <c r="U215" s="19" t="str">
        <f aca="false">IF(T215="","",ABS(T215))</f>
        <v/>
      </c>
      <c r="V215" s="20" t="n">
        <f aca="false">IF(OR(F215="Punkt",NOT(ISNUMBER(L215))),"",IF(F215="Mindestprognose",IF(L215&gt;=I215,1,0),IF(AND(ISNUMBER(I215),ISNUMBER(J215),I215&lt;&gt;J215),IF(AND(L215&gt;=I215,L215&lt;=J215),1,0),"")))</f>
        <v>0</v>
      </c>
      <c r="W215" s="18"/>
      <c r="X215" s="0" t="str">
        <f aca="false">IF(OR(F215="qualitativ",F215="fehlend",NOT(ISNUMBER(L215))),"nicht auswertbar",IF(F215="Punkt","Punktprognose",IF(AND(ISNUMBER(I215),ISNUMBER(J215),I215&lt;&gt;J215),IF(L215&lt;I215,"unterhalb",IF(L215&gt;J215,"oberhalb","innerhalb")),"nicht auswertbar")))</f>
        <v>oberhalb</v>
      </c>
      <c r="Y215" s="19" t="n">
        <f aca="false">IF(AND(ISNUMBER(S215),OR(G215="Marge %",G215="Wachstumsrate %")),ABS(S215),"")</f>
        <v>0.012</v>
      </c>
      <c r="Z215" s="0" t="str">
        <f aca="false">IFERROR(VLOOKUP(A215,Unternehmen!$A:$D,4,FALSE()),"")</f>
        <v>Industrie</v>
      </c>
    </row>
    <row r="216" customFormat="false" ht="15" hidden="false" customHeight="true" outlineLevel="0" collapsed="false">
      <c r="A216" s="15" t="s">
        <v>97</v>
      </c>
      <c r="B216" s="15" t="n">
        <v>2022</v>
      </c>
      <c r="C216" s="15" t="s">
        <v>15</v>
      </c>
      <c r="D216" s="15" t="s">
        <v>439</v>
      </c>
      <c r="E216" s="15" t="n">
        <v>68</v>
      </c>
      <c r="F216" s="15" t="s">
        <v>183</v>
      </c>
      <c r="G216" s="15" t="s">
        <v>177</v>
      </c>
      <c r="H216" s="15" t="s">
        <v>178</v>
      </c>
      <c r="I216" s="17" t="n">
        <v>5200</v>
      </c>
      <c r="J216" s="17" t="n">
        <v>5400</v>
      </c>
      <c r="K216" s="17" t="n">
        <f aca="false">L214</f>
        <v>4118</v>
      </c>
      <c r="L216" s="17" t="n">
        <v>5330</v>
      </c>
      <c r="M216" s="17" t="n">
        <f aca="false">L216-K216</f>
        <v>1212</v>
      </c>
      <c r="N216" s="22" t="s">
        <v>164</v>
      </c>
      <c r="O216" s="15" t="s">
        <v>440</v>
      </c>
      <c r="P216" s="15" t="n">
        <v>2</v>
      </c>
      <c r="Q216" s="18"/>
      <c r="R216" s="25" t="n">
        <f aca="false">IF(NOT(ISNUMBER(I216)),"",IF(F216="Mindestprognose",I216,IF(ISNUMBER(J216),(I216+J216)/2,I216)))</f>
        <v>5300</v>
      </c>
      <c r="S216" s="25" t="n">
        <f aca="false">IF(OR(R216="",NOT(ISNUMBER(L216))),"",R216-L216)</f>
        <v>-30</v>
      </c>
      <c r="T216" s="19" t="n">
        <f aca="false">IF(OR(S216="",G216&lt;&gt;"absolut",NOT(ISNUMBER(L216)),L216=0),"",S216/ABS(L216))</f>
        <v>-0.00562851782363978</v>
      </c>
      <c r="U216" s="19" t="n">
        <f aca="false">IF(T216="","",ABS(T216))</f>
        <v>0.00562851782363978</v>
      </c>
      <c r="V216" s="20" t="n">
        <f aca="false">IF(OR(F216="Punkt",NOT(ISNUMBER(L216))),"",IF(F216="Mindestprognose",IF(L216&gt;=I216,1,0),IF(AND(ISNUMBER(I216),ISNUMBER(J216),I216&lt;&gt;J216),IF(AND(L216&gt;=I216,L216&lt;=J216),1,0),"")))</f>
        <v>1</v>
      </c>
      <c r="W216" s="18"/>
      <c r="X216" s="0" t="str">
        <f aca="false">IF(OR(F216="qualitativ",F216="fehlend",NOT(ISNUMBER(L216))),"nicht auswertbar",IF(F216="Punkt","Punktprognose",IF(AND(ISNUMBER(I216),ISNUMBER(J216),I216&lt;&gt;J216),IF(L216&lt;I216,"unterhalb",IF(L216&gt;J216,"oberhalb","innerhalb")),"nicht auswertbar")))</f>
        <v>innerhalb</v>
      </c>
      <c r="Y216" s="25" t="str">
        <f aca="false">IF(AND(ISNUMBER(S216),OR(G216="Marge %",G216="Wachstumsrate %")),ABS(S216),"")</f>
        <v/>
      </c>
      <c r="Z216" s="0" t="str">
        <f aca="false">IFERROR(VLOOKUP(A216,Unternehmen!$A:$D,4,FALSE()),"")</f>
        <v>Industrie</v>
      </c>
    </row>
    <row r="217" customFormat="false" ht="15" hidden="false" customHeight="true" outlineLevel="0" collapsed="false">
      <c r="A217" s="15" t="s">
        <v>97</v>
      </c>
      <c r="B217" s="15" t="n">
        <v>2022</v>
      </c>
      <c r="C217" s="15" t="s">
        <v>158</v>
      </c>
      <c r="D217" s="15" t="s">
        <v>439</v>
      </c>
      <c r="E217" s="15" t="n">
        <v>68</v>
      </c>
      <c r="F217" s="15" t="s">
        <v>187</v>
      </c>
      <c r="G217" s="15" t="s">
        <v>177</v>
      </c>
      <c r="H217" s="15" t="s">
        <v>178</v>
      </c>
      <c r="I217" s="24"/>
      <c r="J217" s="24"/>
      <c r="K217" s="17" t="n">
        <v>468</v>
      </c>
      <c r="L217" s="17" t="n">
        <v>655</v>
      </c>
      <c r="M217" s="17" t="n">
        <f aca="false">L217-K217</f>
        <v>187</v>
      </c>
      <c r="N217" s="23" t="s">
        <v>174</v>
      </c>
      <c r="O217" s="15" t="s">
        <v>440</v>
      </c>
      <c r="P217" s="15" t="n">
        <v>2</v>
      </c>
      <c r="Q217" s="18"/>
      <c r="R217" s="25" t="str">
        <f aca="false">IF(NOT(ISNUMBER(I217)),"",IF(F217="Mindestprognose",I217,IF(ISNUMBER(J217),(I217+J217)/2,I217)))</f>
        <v/>
      </c>
      <c r="S217" s="25" t="str">
        <f aca="false">IF(OR(R217="",NOT(ISNUMBER(L217))),"",R217-L217)</f>
        <v/>
      </c>
      <c r="T217" s="19" t="str">
        <f aca="false">IF(OR(S217="",G217&lt;&gt;"absolut",NOT(ISNUMBER(L217)),L217=0),"",S217/ABS(L217))</f>
        <v/>
      </c>
      <c r="U217" s="19" t="str">
        <f aca="false">IF(T217="","",ABS(T217))</f>
        <v/>
      </c>
      <c r="V217" s="20" t="str">
        <f aca="false">IF(OR(F217="Punkt",NOT(ISNUMBER(L217))),"",IF(F217="Mindestprognose",IF(L217&gt;=I217,1,0),IF(AND(ISNUMBER(I217),ISNUMBER(J217),I217&lt;&gt;J217),IF(AND(L217&gt;=I217,L217&lt;=J217),1,0),"")))</f>
        <v/>
      </c>
      <c r="W217" s="18" t="s">
        <v>441</v>
      </c>
      <c r="X217" s="0" t="str">
        <f aca="false">IF(OR(F217="qualitativ",F217="fehlend",NOT(ISNUMBER(L217))),"nicht auswertbar",IF(F217="Punkt","Punktprognose",IF(AND(ISNUMBER(I217),ISNUMBER(J217),I217&lt;&gt;J217),IF(L217&lt;I217,"unterhalb",IF(L217&gt;J217,"oberhalb","innerhalb")),"nicht auswertbar")))</f>
        <v>nicht auswertbar</v>
      </c>
      <c r="Y217" s="25" t="str">
        <f aca="false">IF(AND(ISNUMBER(S217),OR(G217="Marge %",G217="Wachstumsrate %")),ABS(S217),"")</f>
        <v/>
      </c>
      <c r="Z217" s="0" t="str">
        <f aca="false">IFERROR(VLOOKUP(A217,Unternehmen!$A:$D,4,FALSE()),"")</f>
        <v>Industrie</v>
      </c>
    </row>
    <row r="218" customFormat="false" ht="15" hidden="false" customHeight="true" outlineLevel="0" collapsed="false">
      <c r="A218" s="15" t="s">
        <v>97</v>
      </c>
      <c r="B218" s="15" t="n">
        <v>2023</v>
      </c>
      <c r="C218" s="15" t="s">
        <v>15</v>
      </c>
      <c r="D218" s="15" t="s">
        <v>440</v>
      </c>
      <c r="E218" s="15" t="n">
        <v>73</v>
      </c>
      <c r="F218" s="15" t="s">
        <v>183</v>
      </c>
      <c r="G218" s="15" t="s">
        <v>177</v>
      </c>
      <c r="H218" s="15" t="s">
        <v>178</v>
      </c>
      <c r="I218" s="17" t="n">
        <v>6100</v>
      </c>
      <c r="J218" s="17" t="n">
        <v>6300</v>
      </c>
      <c r="K218" s="17" t="n">
        <f aca="false">L216</f>
        <v>5330</v>
      </c>
      <c r="L218" s="17" t="n">
        <v>5363</v>
      </c>
      <c r="M218" s="17" t="n">
        <f aca="false">L218-K218</f>
        <v>33</v>
      </c>
      <c r="N218" s="31" t="s">
        <v>442</v>
      </c>
      <c r="O218" s="15" t="s">
        <v>443</v>
      </c>
      <c r="P218" s="15" t="n">
        <v>3</v>
      </c>
      <c r="Q218" s="18"/>
      <c r="R218" s="25" t="n">
        <f aca="false">IF(NOT(ISNUMBER(I218)),"",IF(F218="Mindestprognose",I218,IF(ISNUMBER(J218),(I218+J218)/2,I218)))</f>
        <v>6200</v>
      </c>
      <c r="S218" s="25" t="n">
        <f aca="false">IF(OR(R218="",NOT(ISNUMBER(L218))),"",R218-L218)</f>
        <v>837</v>
      </c>
      <c r="T218" s="19" t="n">
        <f aca="false">IF(OR(S218="",G218&lt;&gt;"absolut",NOT(ISNUMBER(L218)),L218=0),"",S218/ABS(L218))</f>
        <v>0.15606936416185</v>
      </c>
      <c r="U218" s="19" t="n">
        <f aca="false">IF(T218="","",ABS(T218))</f>
        <v>0.15606936416185</v>
      </c>
      <c r="V218" s="20" t="n">
        <f aca="false">IF(OR(F218="Punkt",NOT(ISNUMBER(L218))),"",IF(F218="Mindestprognose",IF(L218&gt;=I218,1,0),IF(AND(ISNUMBER(I218),ISNUMBER(J218),I218&lt;&gt;J218),IF(AND(L218&gt;=I218,L218&lt;=J218),1,0),"")))</f>
        <v>0</v>
      </c>
      <c r="W218" s="18"/>
      <c r="X218" s="0" t="str">
        <f aca="false">IF(OR(F218="qualitativ",F218="fehlend",NOT(ISNUMBER(L218))),"nicht auswertbar",IF(F218="Punkt","Punktprognose",IF(AND(ISNUMBER(I218),ISNUMBER(J218),I218&lt;&gt;J218),IF(L218&lt;I218,"unterhalb",IF(L218&gt;J218,"oberhalb","innerhalb")),"nicht auswertbar")))</f>
        <v>unterhalb</v>
      </c>
      <c r="Y218" s="25" t="str">
        <f aca="false">IF(AND(ISNUMBER(S218),OR(G218="Marge %",G218="Wachstumsrate %")),ABS(S218),"")</f>
        <v/>
      </c>
      <c r="Z218" s="0" t="str">
        <f aca="false">IFERROR(VLOOKUP(A218,Unternehmen!$A:$D,4,FALSE()),"")</f>
        <v>Industrie</v>
      </c>
    </row>
    <row r="219" customFormat="false" ht="15" hidden="false" customHeight="true" outlineLevel="0" collapsed="false">
      <c r="A219" s="15" t="s">
        <v>97</v>
      </c>
      <c r="B219" s="15" t="n">
        <v>2023</v>
      </c>
      <c r="C219" s="15" t="s">
        <v>158</v>
      </c>
      <c r="D219" s="15" t="s">
        <v>440</v>
      </c>
      <c r="E219" s="15" t="n">
        <v>73</v>
      </c>
      <c r="F219" s="15" t="s">
        <v>187</v>
      </c>
      <c r="G219" s="15" t="s">
        <v>159</v>
      </c>
      <c r="H219" s="15" t="s">
        <v>160</v>
      </c>
      <c r="I219" s="24"/>
      <c r="J219" s="24"/>
      <c r="K219" s="16" t="n">
        <v>0.123</v>
      </c>
      <c r="L219" s="16" t="n">
        <v>0.129</v>
      </c>
      <c r="M219" s="16" t="s">
        <v>240</v>
      </c>
      <c r="N219" s="22" t="s">
        <v>164</v>
      </c>
      <c r="O219" s="15" t="s">
        <v>443</v>
      </c>
      <c r="P219" s="15" t="n">
        <v>3</v>
      </c>
      <c r="Q219" s="18"/>
      <c r="R219" s="19" t="str">
        <f aca="false">IF(NOT(ISNUMBER(I219)),"",IF(F219="Mindestprognose",I219,IF(ISNUMBER(J219),(I219+J219)/2,I219)))</f>
        <v/>
      </c>
      <c r="S219" s="19" t="str">
        <f aca="false">IF(OR(R219="",NOT(ISNUMBER(L219))),"",R219-L219)</f>
        <v/>
      </c>
      <c r="T219" s="19" t="str">
        <f aca="false">IF(OR(S219="",G219&lt;&gt;"absolut",NOT(ISNUMBER(L219)),L219=0),"",S219/ABS(L219))</f>
        <v/>
      </c>
      <c r="U219" s="19" t="str">
        <f aca="false">IF(T219="","",ABS(T219))</f>
        <v/>
      </c>
      <c r="V219" s="20" t="str">
        <f aca="false">IF(OR(F219="Punkt",NOT(ISNUMBER(L219))),"",IF(F219="Mindestprognose",IF(L219&gt;=I219,1,0),IF(AND(ISNUMBER(I219),ISNUMBER(J219),I219&lt;&gt;J219),IF(AND(L219&gt;=I219,L219&lt;=J219),1,0),"")))</f>
        <v/>
      </c>
      <c r="W219" s="18" t="s">
        <v>354</v>
      </c>
      <c r="X219" s="0" t="str">
        <f aca="false">IF(OR(F219="qualitativ",F219="fehlend",NOT(ISNUMBER(L219))),"nicht auswertbar",IF(F219="Punkt","Punktprognose",IF(AND(ISNUMBER(I219),ISNUMBER(J219),I219&lt;&gt;J219),IF(L219&lt;I219,"unterhalb",IF(L219&gt;J219,"oberhalb","innerhalb")),"nicht auswertbar")))</f>
        <v>nicht auswertbar</v>
      </c>
      <c r="Y219" s="19" t="str">
        <f aca="false">IF(AND(ISNUMBER(S219),OR(G219="Marge %",G219="Wachstumsrate %")),ABS(S219),"")</f>
        <v/>
      </c>
      <c r="Z219" s="0" t="str">
        <f aca="false">IFERROR(VLOOKUP(A219,Unternehmen!$A:$D,4,FALSE()),"")</f>
        <v>Industrie</v>
      </c>
    </row>
    <row r="220" customFormat="false" ht="15" hidden="false" customHeight="true" outlineLevel="0" collapsed="false">
      <c r="A220" s="15" t="s">
        <v>97</v>
      </c>
      <c r="B220" s="15" t="n">
        <v>2024</v>
      </c>
      <c r="C220" s="15" t="s">
        <v>15</v>
      </c>
      <c r="D220" s="15" t="s">
        <v>443</v>
      </c>
      <c r="E220" s="15" t="n">
        <v>74</v>
      </c>
      <c r="F220" s="15" t="s">
        <v>183</v>
      </c>
      <c r="G220" s="15" t="s">
        <v>177</v>
      </c>
      <c r="H220" s="15" t="s">
        <v>178</v>
      </c>
      <c r="I220" s="17" t="n">
        <v>7300</v>
      </c>
      <c r="J220" s="17" t="n">
        <v>7500</v>
      </c>
      <c r="K220" s="17" t="n">
        <v>6326</v>
      </c>
      <c r="L220" s="17" t="n">
        <v>7488</v>
      </c>
      <c r="M220" s="17" t="n">
        <f aca="false">L220-K220</f>
        <v>1162</v>
      </c>
      <c r="N220" s="22" t="s">
        <v>164</v>
      </c>
      <c r="O220" s="15" t="s">
        <v>444</v>
      </c>
      <c r="P220" s="15" t="n">
        <v>3</v>
      </c>
      <c r="Q220" s="18" t="s">
        <v>445</v>
      </c>
      <c r="R220" s="25" t="n">
        <f aca="false">IF(NOT(ISNUMBER(I220)),"",IF(F220="Mindestprognose",I220,IF(ISNUMBER(J220),(I220+J220)/2,I220)))</f>
        <v>7400</v>
      </c>
      <c r="S220" s="25" t="n">
        <f aca="false">IF(OR(R220="",NOT(ISNUMBER(L220))),"",R220-L220)</f>
        <v>-88</v>
      </c>
      <c r="T220" s="19" t="n">
        <f aca="false">IF(OR(S220="",G220&lt;&gt;"absolut",NOT(ISNUMBER(L220)),L220=0),"",S220/ABS(L220))</f>
        <v>-0.0117521367521368</v>
      </c>
      <c r="U220" s="19" t="n">
        <f aca="false">IF(T220="","",ABS(T220))</f>
        <v>0.0117521367521368</v>
      </c>
      <c r="V220" s="20" t="n">
        <f aca="false">IF(OR(F220="Punkt",NOT(ISNUMBER(L220))),"",IF(F220="Mindestprognose",IF(L220&gt;=I220,1,0),IF(AND(ISNUMBER(I220),ISNUMBER(J220),I220&lt;&gt;J220),IF(AND(L220&gt;=I220,L220&lt;=J220),1,0),"")))</f>
        <v>1</v>
      </c>
      <c r="W220" s="18"/>
      <c r="X220" s="0" t="str">
        <f aca="false">IF(OR(F220="qualitativ",F220="fehlend",NOT(ISNUMBER(L220))),"nicht auswertbar",IF(F220="Punkt","Punktprognose",IF(AND(ISNUMBER(I220),ISNUMBER(J220),I220&lt;&gt;J220),IF(L220&lt;I220,"unterhalb",IF(L220&gt;J220,"oberhalb","innerhalb")),"nicht auswertbar")))</f>
        <v>innerhalb</v>
      </c>
      <c r="Y220" s="25" t="str">
        <f aca="false">IF(AND(ISNUMBER(S220),OR(G220="Marge %",G220="Wachstumsrate %")),ABS(S220),"")</f>
        <v/>
      </c>
      <c r="Z220" s="0" t="str">
        <f aca="false">IFERROR(VLOOKUP(A220,Unternehmen!$A:$D,4,FALSE()),"")</f>
        <v>Industrie</v>
      </c>
    </row>
    <row r="221" customFormat="false" ht="15" hidden="false" customHeight="true" outlineLevel="0" collapsed="false">
      <c r="A221" s="15" t="s">
        <v>97</v>
      </c>
      <c r="B221" s="15" t="n">
        <v>2024</v>
      </c>
      <c r="C221" s="15" t="s">
        <v>158</v>
      </c>
      <c r="D221" s="15" t="s">
        <v>443</v>
      </c>
      <c r="E221" s="15" t="n">
        <v>74</v>
      </c>
      <c r="F221" s="15" t="s">
        <v>153</v>
      </c>
      <c r="G221" s="15" t="s">
        <v>159</v>
      </c>
      <c r="H221" s="15" t="s">
        <v>160</v>
      </c>
      <c r="I221" s="16" t="n">
        <v>0.12</v>
      </c>
      <c r="J221" s="16" t="n">
        <v>0.13</v>
      </c>
      <c r="K221" s="16" t="n">
        <f aca="false">L219</f>
        <v>0.129</v>
      </c>
      <c r="L221" s="16" t="n">
        <v>0.14</v>
      </c>
      <c r="M221" s="16" t="s">
        <v>267</v>
      </c>
      <c r="N221" s="23" t="s">
        <v>174</v>
      </c>
      <c r="O221" s="15" t="s">
        <v>444</v>
      </c>
      <c r="P221" s="15" t="n">
        <v>3</v>
      </c>
      <c r="Q221" s="18"/>
      <c r="R221" s="19" t="n">
        <f aca="false">IF(NOT(ISNUMBER(I221)),"",IF(F221="Mindestprognose",I221,IF(ISNUMBER(J221),(I221+J221)/2,I221)))</f>
        <v>0.125</v>
      </c>
      <c r="S221" s="19" t="n">
        <f aca="false">IF(OR(R221="",NOT(ISNUMBER(L221))),"",R221-L221)</f>
        <v>-0.015</v>
      </c>
      <c r="T221" s="19" t="str">
        <f aca="false">IF(OR(S221="",G221&lt;&gt;"absolut",NOT(ISNUMBER(L221)),L221=0),"",S221/ABS(L221))</f>
        <v/>
      </c>
      <c r="U221" s="19" t="str">
        <f aca="false">IF(T221="","",ABS(T221))</f>
        <v/>
      </c>
      <c r="V221" s="20" t="n">
        <f aca="false">IF(OR(F221="Punkt",NOT(ISNUMBER(L221))),"",IF(F221="Mindestprognose",IF(L221&gt;=I221,1,0),IF(AND(ISNUMBER(I221),ISNUMBER(J221),I221&lt;&gt;J221),IF(AND(L221&gt;=I221,L221&lt;=J221),1,0),"")))</f>
        <v>0</v>
      </c>
      <c r="W221" s="18"/>
      <c r="X221" s="0" t="str">
        <f aca="false">IF(OR(F221="qualitativ",F221="fehlend",NOT(ISNUMBER(L221))),"nicht auswertbar",IF(F221="Punkt","Punktprognose",IF(AND(ISNUMBER(I221),ISNUMBER(J221),I221&lt;&gt;J221),IF(L221&lt;I221,"unterhalb",IF(L221&gt;J221,"oberhalb","innerhalb")),"nicht auswertbar")))</f>
        <v>oberhalb</v>
      </c>
      <c r="Y221" s="19" t="n">
        <f aca="false">IF(AND(ISNUMBER(S221),OR(G221="Marge %",G221="Wachstumsrate %")),ABS(S221),"")</f>
        <v>0.015</v>
      </c>
      <c r="Z221" s="0" t="str">
        <f aca="false">IFERROR(VLOOKUP(A221,Unternehmen!$A:$D,4,FALSE()),"")</f>
        <v>Industrie</v>
      </c>
    </row>
    <row r="222" customFormat="false" ht="15" hidden="false" customHeight="true" outlineLevel="0" collapsed="false">
      <c r="A222" s="15" t="s">
        <v>102</v>
      </c>
      <c r="B222" s="15" t="n">
        <v>2020</v>
      </c>
      <c r="C222" s="15" t="s">
        <v>15</v>
      </c>
      <c r="D222" s="28"/>
      <c r="E222" s="28"/>
      <c r="F222" s="28" t="s">
        <v>206</v>
      </c>
      <c r="G222" s="28"/>
      <c r="H222" s="28"/>
      <c r="I222" s="24"/>
      <c r="J222" s="24"/>
      <c r="K222" s="24"/>
      <c r="L222" s="24"/>
      <c r="M222" s="24"/>
      <c r="N222" s="24"/>
      <c r="O222" s="28"/>
      <c r="P222" s="28"/>
      <c r="Q222" s="18"/>
      <c r="R222" s="25" t="str">
        <f aca="false">IF(NOT(ISNUMBER(I222)),"",IF(F222="Mindestprognose",I222,IF(ISNUMBER(J222),(I222+J222)/2,I222)))</f>
        <v/>
      </c>
      <c r="S222" s="25" t="str">
        <f aca="false">IF(OR(R222="",NOT(ISNUMBER(L222))),"",R222-L222)</f>
        <v/>
      </c>
      <c r="T222" s="19" t="str">
        <f aca="false">IF(OR(S222="",G222&lt;&gt;"absolut",NOT(ISNUMBER(L222)),L222=0),"",S222/ABS(L222))</f>
        <v/>
      </c>
      <c r="U222" s="19" t="str">
        <f aca="false">IF(T222="","",ABS(T222))</f>
        <v/>
      </c>
      <c r="V222" s="20" t="str">
        <f aca="false">IF(OR(F222="Punkt",NOT(ISNUMBER(L222))),"",IF(F222="Mindestprognose",IF(L222&gt;=I222,1,0),IF(AND(ISNUMBER(I222),ISNUMBER(J222),I222&lt;&gt;J222),IF(AND(L222&gt;=I222,L222&lt;=J222),1,0),"")))</f>
        <v/>
      </c>
      <c r="W222" s="18"/>
      <c r="X222" s="0" t="str">
        <f aca="false">IF(OR(F222="qualitativ",F222="fehlend",NOT(ISNUMBER(L222))),"nicht auswertbar",IF(F222="Punkt","Punktprognose",IF(AND(ISNUMBER(I222),ISNUMBER(J222),I222&lt;&gt;J222),IF(L222&lt;I222,"unterhalb",IF(L222&gt;J222,"oberhalb","innerhalb")),"nicht auswertbar")))</f>
        <v>nicht auswertbar</v>
      </c>
      <c r="Y222" s="25" t="str">
        <f aca="false">IF(AND(ISNUMBER(S222),OR(G222="Marge %",G222="Wachstumsrate %")),ABS(S222),"")</f>
        <v/>
      </c>
      <c r="Z222" s="0" t="str">
        <f aca="false">IFERROR(VLOOKUP(A222,Unternehmen!$A:$D,4,FALSE()),"")</f>
        <v>Versicherungen</v>
      </c>
    </row>
    <row r="223" customFormat="false" ht="15" hidden="false" customHeight="true" outlineLevel="0" collapsed="false">
      <c r="A223" s="15" t="s">
        <v>102</v>
      </c>
      <c r="B223" s="15" t="n">
        <v>2020</v>
      </c>
      <c r="C223" s="15" t="s">
        <v>158</v>
      </c>
      <c r="D223" s="15" t="s">
        <v>446</v>
      </c>
      <c r="E223" s="15" t="n">
        <v>85</v>
      </c>
      <c r="F223" s="15" t="s">
        <v>176</v>
      </c>
      <c r="G223" s="15" t="s">
        <v>177</v>
      </c>
      <c r="H223" s="15" t="s">
        <v>178</v>
      </c>
      <c r="I223" s="17" t="n">
        <v>2500</v>
      </c>
      <c r="J223" s="17" t="n">
        <v>2500</v>
      </c>
      <c r="K223" s="17" t="n">
        <v>2707</v>
      </c>
      <c r="L223" s="17" t="n">
        <v>1211</v>
      </c>
      <c r="M223" s="17" t="n">
        <f aca="false">L223-K223</f>
        <v>-1496</v>
      </c>
      <c r="N223" s="31" t="s">
        <v>447</v>
      </c>
      <c r="O223" s="15" t="s">
        <v>448</v>
      </c>
      <c r="P223" s="15" t="n">
        <v>118</v>
      </c>
      <c r="Q223" s="18"/>
      <c r="R223" s="25" t="n">
        <f aca="false">IF(NOT(ISNUMBER(I223)),"",IF(F223="Mindestprognose",I223,IF(ISNUMBER(J223),(I223+J223)/2,I223)))</f>
        <v>2500</v>
      </c>
      <c r="S223" s="25" t="n">
        <f aca="false">IF(OR(R223="",NOT(ISNUMBER(L223))),"",R223-L223)</f>
        <v>1289</v>
      </c>
      <c r="T223" s="19" t="n">
        <f aca="false">IF(OR(S223="",G223&lt;&gt;"absolut",NOT(ISNUMBER(L223)),L223=0),"",S223/ABS(L223))</f>
        <v>1.06440957886045</v>
      </c>
      <c r="U223" s="19" t="n">
        <f aca="false">IF(T223="","",ABS(T223))</f>
        <v>1.06440957886045</v>
      </c>
      <c r="V223" s="20" t="str">
        <f aca="false">IF(OR(F223="Punkt",NOT(ISNUMBER(L223))),"",IF(F223="Mindestprognose",IF(L223&gt;=I223,1,0),IF(AND(ISNUMBER(I223),ISNUMBER(J223),I223&lt;&gt;J223),IF(AND(L223&gt;=I223,L223&lt;=J223),1,0),"")))</f>
        <v/>
      </c>
      <c r="W223" s="18"/>
      <c r="X223" s="0" t="str">
        <f aca="false">IF(OR(F223="qualitativ",F223="fehlend",NOT(ISNUMBER(L223))),"nicht auswertbar",IF(F223="Punkt","Punktprognose",IF(AND(ISNUMBER(I223),ISNUMBER(J223),I223&lt;&gt;J223),IF(L223&lt;I223,"unterhalb",IF(L223&gt;J223,"oberhalb","innerhalb")),"nicht auswertbar")))</f>
        <v>Punktprognose</v>
      </c>
      <c r="Y223" s="25" t="str">
        <f aca="false">IF(AND(ISNUMBER(S223),OR(G223="Marge %",G223="Wachstumsrate %")),ABS(S223),"")</f>
        <v/>
      </c>
      <c r="Z223" s="0" t="str">
        <f aca="false">IFERROR(VLOOKUP(A223,Unternehmen!$A:$D,4,FALSE()),"")</f>
        <v>Versicherungen</v>
      </c>
    </row>
    <row r="224" customFormat="false" ht="15" hidden="false" customHeight="true" outlineLevel="0" collapsed="false">
      <c r="A224" s="15" t="s">
        <v>102</v>
      </c>
      <c r="B224" s="15" t="n">
        <v>2021</v>
      </c>
      <c r="C224" s="15" t="s">
        <v>15</v>
      </c>
      <c r="D224" s="28"/>
      <c r="E224" s="28"/>
      <c r="F224" s="28" t="s">
        <v>206</v>
      </c>
      <c r="G224" s="28"/>
      <c r="H224" s="28"/>
      <c r="I224" s="24"/>
      <c r="J224" s="24"/>
      <c r="K224" s="24"/>
      <c r="L224" s="24"/>
      <c r="M224" s="24"/>
      <c r="N224" s="40"/>
      <c r="O224" s="28"/>
      <c r="P224" s="28"/>
      <c r="Q224" s="18"/>
      <c r="R224" s="25" t="str">
        <f aca="false">IF(NOT(ISNUMBER(I224)),"",IF(F224="Mindestprognose",I224,IF(ISNUMBER(J224),(I224+J224)/2,I224)))</f>
        <v/>
      </c>
      <c r="S224" s="25" t="str">
        <f aca="false">IF(OR(R224="",NOT(ISNUMBER(L224))),"",R224-L224)</f>
        <v/>
      </c>
      <c r="T224" s="19" t="str">
        <f aca="false">IF(OR(S224="",G224&lt;&gt;"absolut",NOT(ISNUMBER(L224)),L224=0),"",S224/ABS(L224))</f>
        <v/>
      </c>
      <c r="U224" s="19" t="str">
        <f aca="false">IF(T224="","",ABS(T224))</f>
        <v/>
      </c>
      <c r="V224" s="20" t="str">
        <f aca="false">IF(OR(F224="Punkt",NOT(ISNUMBER(L224))),"",IF(F224="Mindestprognose",IF(L224&gt;=I224,1,0),IF(AND(ISNUMBER(I224),ISNUMBER(J224),I224&lt;&gt;J224),IF(AND(L224&gt;=I224,L224&lt;=J224),1,0),"")))</f>
        <v/>
      </c>
      <c r="W224" s="18"/>
      <c r="X224" s="0" t="str">
        <f aca="false">IF(OR(F224="qualitativ",F224="fehlend",NOT(ISNUMBER(L224))),"nicht auswertbar",IF(F224="Punkt","Punktprognose",IF(AND(ISNUMBER(I224),ISNUMBER(J224),I224&lt;&gt;J224),IF(L224&lt;I224,"unterhalb",IF(L224&gt;J224,"oberhalb","innerhalb")),"nicht auswertbar")))</f>
        <v>nicht auswertbar</v>
      </c>
      <c r="Y224" s="25" t="str">
        <f aca="false">IF(AND(ISNUMBER(S224),OR(G224="Marge %",G224="Wachstumsrate %")),ABS(S224),"")</f>
        <v/>
      </c>
      <c r="Z224" s="0" t="str">
        <f aca="false">IFERROR(VLOOKUP(A224,Unternehmen!$A:$D,4,FALSE()),"")</f>
        <v>Versicherungen</v>
      </c>
    </row>
    <row r="225" customFormat="false" ht="15" hidden="false" customHeight="true" outlineLevel="0" collapsed="false">
      <c r="A225" s="15" t="s">
        <v>102</v>
      </c>
      <c r="B225" s="15" t="n">
        <v>2021</v>
      </c>
      <c r="C225" s="15" t="s">
        <v>158</v>
      </c>
      <c r="D225" s="15" t="s">
        <v>448</v>
      </c>
      <c r="E225" s="15" t="n">
        <v>101</v>
      </c>
      <c r="F225" s="15" t="s">
        <v>176</v>
      </c>
      <c r="G225" s="15" t="s">
        <v>177</v>
      </c>
      <c r="H225" s="15" t="s">
        <v>178</v>
      </c>
      <c r="I225" s="17" t="n">
        <v>2800</v>
      </c>
      <c r="J225" s="17" t="n">
        <v>2800</v>
      </c>
      <c r="K225" s="17" t="n">
        <f aca="false">L223</f>
        <v>1211</v>
      </c>
      <c r="L225" s="17" t="n">
        <v>2932</v>
      </c>
      <c r="M225" s="17" t="n">
        <f aca="false">L225-K225</f>
        <v>1721</v>
      </c>
      <c r="N225" s="23" t="s">
        <v>174</v>
      </c>
      <c r="O225" s="15" t="s">
        <v>449</v>
      </c>
      <c r="P225" s="15" t="n">
        <v>122</v>
      </c>
      <c r="Q225" s="18"/>
      <c r="R225" s="25" t="n">
        <f aca="false">IF(NOT(ISNUMBER(I225)),"",IF(F225="Mindestprognose",I225,IF(ISNUMBER(J225),(I225+J225)/2,I225)))</f>
        <v>2800</v>
      </c>
      <c r="S225" s="25" t="n">
        <f aca="false">IF(OR(R225="",NOT(ISNUMBER(L225))),"",R225-L225)</f>
        <v>-132</v>
      </c>
      <c r="T225" s="19" t="n">
        <f aca="false">IF(OR(S225="",G225&lt;&gt;"absolut",NOT(ISNUMBER(L225)),L225=0),"",S225/ABS(L225))</f>
        <v>-0.0450204638472033</v>
      </c>
      <c r="U225" s="19" t="n">
        <f aca="false">IF(T225="","",ABS(T225))</f>
        <v>0.0450204638472033</v>
      </c>
      <c r="V225" s="20" t="str">
        <f aca="false">IF(OR(F225="Punkt",NOT(ISNUMBER(L225))),"",IF(F225="Mindestprognose",IF(L225&gt;=I225,1,0),IF(AND(ISNUMBER(I225),ISNUMBER(J225),I225&lt;&gt;J225),IF(AND(L225&gt;=I225,L225&lt;=J225),1,0),"")))</f>
        <v/>
      </c>
      <c r="W225" s="18"/>
      <c r="X225" s="0" t="str">
        <f aca="false">IF(OR(F225="qualitativ",F225="fehlend",NOT(ISNUMBER(L225))),"nicht auswertbar",IF(F225="Punkt","Punktprognose",IF(AND(ISNUMBER(I225),ISNUMBER(J225),I225&lt;&gt;J225),IF(L225&lt;I225,"unterhalb",IF(L225&gt;J225,"oberhalb","innerhalb")),"nicht auswertbar")))</f>
        <v>Punktprognose</v>
      </c>
      <c r="Y225" s="25" t="str">
        <f aca="false">IF(AND(ISNUMBER(S225),OR(G225="Marge %",G225="Wachstumsrate %")),ABS(S225),"")</f>
        <v/>
      </c>
      <c r="Z225" s="0" t="str">
        <f aca="false">IFERROR(VLOOKUP(A225,Unternehmen!$A:$D,4,FALSE()),"")</f>
        <v>Versicherungen</v>
      </c>
    </row>
    <row r="226" customFormat="false" ht="15" hidden="false" customHeight="true" outlineLevel="0" collapsed="false">
      <c r="A226" s="15" t="s">
        <v>102</v>
      </c>
      <c r="B226" s="15" t="n">
        <v>2022</v>
      </c>
      <c r="C226" s="15" t="s">
        <v>15</v>
      </c>
      <c r="D226" s="28"/>
      <c r="E226" s="28"/>
      <c r="F226" s="28" t="s">
        <v>206</v>
      </c>
      <c r="G226" s="28"/>
      <c r="H226" s="28"/>
      <c r="I226" s="24"/>
      <c r="J226" s="24"/>
      <c r="K226" s="24"/>
      <c r="L226" s="24"/>
      <c r="M226" s="24"/>
      <c r="N226" s="40"/>
      <c r="O226" s="28"/>
      <c r="P226" s="28"/>
      <c r="Q226" s="18"/>
      <c r="R226" s="25" t="str">
        <f aca="false">IF(NOT(ISNUMBER(I226)),"",IF(F226="Mindestprognose",I226,IF(ISNUMBER(J226),(I226+J226)/2,I226)))</f>
        <v/>
      </c>
      <c r="S226" s="25" t="str">
        <f aca="false">IF(OR(R226="",NOT(ISNUMBER(L226))),"",R226-L226)</f>
        <v/>
      </c>
      <c r="T226" s="19" t="str">
        <f aca="false">IF(OR(S226="",G226&lt;&gt;"absolut",NOT(ISNUMBER(L226)),L226=0),"",S226/ABS(L226))</f>
        <v/>
      </c>
      <c r="U226" s="19" t="str">
        <f aca="false">IF(T226="","",ABS(T226))</f>
        <v/>
      </c>
      <c r="V226" s="20" t="str">
        <f aca="false">IF(OR(F226="Punkt",NOT(ISNUMBER(L226))),"",IF(F226="Mindestprognose",IF(L226&gt;=I226,1,0),IF(AND(ISNUMBER(I226),ISNUMBER(J226),I226&lt;&gt;J226),IF(AND(L226&gt;=I226,L226&lt;=J226),1,0),"")))</f>
        <v/>
      </c>
      <c r="W226" s="18"/>
      <c r="X226" s="0" t="str">
        <f aca="false">IF(OR(F226="qualitativ",F226="fehlend",NOT(ISNUMBER(L226))),"nicht auswertbar",IF(F226="Punkt","Punktprognose",IF(AND(ISNUMBER(I226),ISNUMBER(J226),I226&lt;&gt;J226),IF(L226&lt;I226,"unterhalb",IF(L226&gt;J226,"oberhalb","innerhalb")),"nicht auswertbar")))</f>
        <v>nicht auswertbar</v>
      </c>
      <c r="Y226" s="25" t="str">
        <f aca="false">IF(AND(ISNUMBER(S226),OR(G226="Marge %",G226="Wachstumsrate %")),ABS(S226),"")</f>
        <v/>
      </c>
      <c r="Z226" s="0" t="str">
        <f aca="false">IFERROR(VLOOKUP(A226,Unternehmen!$A:$D,4,FALSE()),"")</f>
        <v>Versicherungen</v>
      </c>
    </row>
    <row r="227" customFormat="false" ht="15" hidden="false" customHeight="true" outlineLevel="0" collapsed="false">
      <c r="A227" s="15" t="s">
        <v>102</v>
      </c>
      <c r="B227" s="15" t="n">
        <v>2022</v>
      </c>
      <c r="C227" s="15" t="s">
        <v>158</v>
      </c>
      <c r="D227" s="15" t="s">
        <v>449</v>
      </c>
      <c r="E227" s="15" t="n">
        <v>82</v>
      </c>
      <c r="F227" s="15" t="s">
        <v>176</v>
      </c>
      <c r="G227" s="15" t="s">
        <v>177</v>
      </c>
      <c r="H227" s="15" t="s">
        <v>178</v>
      </c>
      <c r="I227" s="17" t="n">
        <v>3300</v>
      </c>
      <c r="J227" s="17" t="n">
        <v>3300</v>
      </c>
      <c r="K227" s="17" t="n">
        <f aca="false">L225</f>
        <v>2932</v>
      </c>
      <c r="L227" s="17" t="n">
        <v>3419</v>
      </c>
      <c r="M227" s="17" t="n">
        <f aca="false">L227-K227</f>
        <v>487</v>
      </c>
      <c r="N227" s="23" t="s">
        <v>174</v>
      </c>
      <c r="O227" s="15" t="s">
        <v>450</v>
      </c>
      <c r="P227" s="15" t="n">
        <v>134</v>
      </c>
      <c r="Q227" s="18"/>
      <c r="R227" s="25" t="n">
        <f aca="false">IF(NOT(ISNUMBER(I227)),"",IF(F227="Mindestprognose",I227,IF(ISNUMBER(J227),(I227+J227)/2,I227)))</f>
        <v>3300</v>
      </c>
      <c r="S227" s="25" t="n">
        <f aca="false">IF(OR(R227="",NOT(ISNUMBER(L227))),"",R227-L227)</f>
        <v>-119</v>
      </c>
      <c r="T227" s="19" t="n">
        <f aca="false">IF(OR(S227="",G227&lt;&gt;"absolut",NOT(ISNUMBER(L227)),L227=0),"",S227/ABS(L227))</f>
        <v>-0.0348054986838257</v>
      </c>
      <c r="U227" s="19" t="n">
        <f aca="false">IF(T227="","",ABS(T227))</f>
        <v>0.0348054986838257</v>
      </c>
      <c r="V227" s="20" t="str">
        <f aca="false">IF(OR(F227="Punkt",NOT(ISNUMBER(L227))),"",IF(F227="Mindestprognose",IF(L227&gt;=I227,1,0),IF(AND(ISNUMBER(I227),ISNUMBER(J227),I227&lt;&gt;J227),IF(AND(L227&gt;=I227,L227&lt;=J227),1,0),"")))</f>
        <v/>
      </c>
      <c r="W227" s="18"/>
      <c r="X227" s="0" t="str">
        <f aca="false">IF(OR(F227="qualitativ",F227="fehlend",NOT(ISNUMBER(L227))),"nicht auswertbar",IF(F227="Punkt","Punktprognose",IF(AND(ISNUMBER(I227),ISNUMBER(J227),I227&lt;&gt;J227),IF(L227&lt;I227,"unterhalb",IF(L227&gt;J227,"oberhalb","innerhalb")),"nicht auswertbar")))</f>
        <v>Punktprognose</v>
      </c>
      <c r="Y227" s="25" t="str">
        <f aca="false">IF(AND(ISNUMBER(S227),OR(G227="Marge %",G227="Wachstumsrate %")),ABS(S227),"")</f>
        <v/>
      </c>
      <c r="Z227" s="0" t="str">
        <f aca="false">IFERROR(VLOOKUP(A227,Unternehmen!$A:$D,4,FALSE()),"")</f>
        <v>Versicherungen</v>
      </c>
    </row>
    <row r="228" customFormat="false" ht="15" hidden="false" customHeight="true" outlineLevel="0" collapsed="false">
      <c r="A228" s="15" t="s">
        <v>102</v>
      </c>
      <c r="B228" s="15" t="n">
        <v>2023</v>
      </c>
      <c r="C228" s="15" t="s">
        <v>15</v>
      </c>
      <c r="D228" s="28"/>
      <c r="E228" s="28"/>
      <c r="F228" s="28" t="s">
        <v>206</v>
      </c>
      <c r="G228" s="28"/>
      <c r="H228" s="28"/>
      <c r="I228" s="24"/>
      <c r="J228" s="24"/>
      <c r="K228" s="24"/>
      <c r="L228" s="24"/>
      <c r="M228" s="24"/>
      <c r="N228" s="40"/>
      <c r="O228" s="28"/>
      <c r="P228" s="28"/>
      <c r="Q228" s="18"/>
      <c r="R228" s="25" t="str">
        <f aca="false">IF(NOT(ISNUMBER(I228)),"",IF(F228="Mindestprognose",I228,IF(ISNUMBER(J228),(I228+J228)/2,I228)))</f>
        <v/>
      </c>
      <c r="S228" s="25" t="str">
        <f aca="false">IF(OR(R228="",NOT(ISNUMBER(L228))),"",R228-L228)</f>
        <v/>
      </c>
      <c r="T228" s="19" t="str">
        <f aca="false">IF(OR(S228="",G228&lt;&gt;"absolut",NOT(ISNUMBER(L228)),L228=0),"",S228/ABS(L228))</f>
        <v/>
      </c>
      <c r="U228" s="19" t="str">
        <f aca="false">IF(T228="","",ABS(T228))</f>
        <v/>
      </c>
      <c r="V228" s="20" t="str">
        <f aca="false">IF(OR(F228="Punkt",NOT(ISNUMBER(L228))),"",IF(F228="Mindestprognose",IF(L228&gt;=I228,1,0),IF(AND(ISNUMBER(I228),ISNUMBER(J228),I228&lt;&gt;J228),IF(AND(L228&gt;=I228,L228&lt;=J228),1,0),"")))</f>
        <v/>
      </c>
      <c r="W228" s="18"/>
      <c r="X228" s="0" t="str">
        <f aca="false">IF(OR(F228="qualitativ",F228="fehlend",NOT(ISNUMBER(L228))),"nicht auswertbar",IF(F228="Punkt","Punktprognose",IF(AND(ISNUMBER(I228),ISNUMBER(J228),I228&lt;&gt;J228),IF(L228&lt;I228,"unterhalb",IF(L228&gt;J228,"oberhalb","innerhalb")),"nicht auswertbar")))</f>
        <v>nicht auswertbar</v>
      </c>
      <c r="Y228" s="25" t="str">
        <f aca="false">IF(AND(ISNUMBER(S228),OR(G228="Marge %",G228="Wachstumsrate %")),ABS(S228),"")</f>
        <v/>
      </c>
      <c r="Z228" s="0" t="str">
        <f aca="false">IFERROR(VLOOKUP(A228,Unternehmen!$A:$D,4,FALSE()),"")</f>
        <v>Versicherungen</v>
      </c>
    </row>
    <row r="229" customFormat="false" ht="15" hidden="false" customHeight="true" outlineLevel="0" collapsed="false">
      <c r="A229" s="15" t="s">
        <v>102</v>
      </c>
      <c r="B229" s="15" t="n">
        <v>2023</v>
      </c>
      <c r="C229" s="15" t="s">
        <v>158</v>
      </c>
      <c r="D229" s="15" t="s">
        <v>450</v>
      </c>
      <c r="E229" s="15" t="n">
        <v>91</v>
      </c>
      <c r="F229" s="15" t="s">
        <v>176</v>
      </c>
      <c r="G229" s="15" t="s">
        <v>177</v>
      </c>
      <c r="H229" s="15" t="s">
        <v>178</v>
      </c>
      <c r="I229" s="17" t="n">
        <v>4000</v>
      </c>
      <c r="J229" s="17" t="n">
        <v>4000</v>
      </c>
      <c r="K229" s="17" t="n">
        <v>5309</v>
      </c>
      <c r="L229" s="17" t="n">
        <v>4597</v>
      </c>
      <c r="M229" s="17" t="n">
        <f aca="false">L229-K229</f>
        <v>-712</v>
      </c>
      <c r="N229" s="23" t="s">
        <v>174</v>
      </c>
      <c r="O229" s="15" t="s">
        <v>451</v>
      </c>
      <c r="P229" s="15" t="n">
        <v>150</v>
      </c>
      <c r="Q229" s="18" t="s">
        <v>452</v>
      </c>
      <c r="R229" s="25" t="n">
        <f aca="false">IF(NOT(ISNUMBER(I229)),"",IF(F229="Mindestprognose",I229,IF(ISNUMBER(J229),(I229+J229)/2,I229)))</f>
        <v>4000</v>
      </c>
      <c r="S229" s="25" t="n">
        <f aca="false">IF(OR(R229="",NOT(ISNUMBER(L229))),"",R229-L229)</f>
        <v>-597</v>
      </c>
      <c r="T229" s="19" t="n">
        <f aca="false">IF(OR(S229="",G229&lt;&gt;"absolut",NOT(ISNUMBER(L229)),L229=0),"",S229/ABS(L229))</f>
        <v>-0.129867304763977</v>
      </c>
      <c r="U229" s="19" t="n">
        <f aca="false">IF(T229="","",ABS(T229))</f>
        <v>0.129867304763977</v>
      </c>
      <c r="V229" s="20" t="str">
        <f aca="false">IF(OR(F229="Punkt",NOT(ISNUMBER(L229))),"",IF(F229="Mindestprognose",IF(L229&gt;=I229,1,0),IF(AND(ISNUMBER(I229),ISNUMBER(J229),I229&lt;&gt;J229),IF(AND(L229&gt;=I229,L229&lt;=J229),1,0),"")))</f>
        <v/>
      </c>
      <c r="W229" s="18"/>
      <c r="X229" s="0" t="str">
        <f aca="false">IF(OR(F229="qualitativ",F229="fehlend",NOT(ISNUMBER(L229))),"nicht auswertbar",IF(F229="Punkt","Punktprognose",IF(AND(ISNUMBER(I229),ISNUMBER(J229),I229&lt;&gt;J229),IF(L229&lt;I229,"unterhalb",IF(L229&gt;J229,"oberhalb","innerhalb")),"nicht auswertbar")))</f>
        <v>Punktprognose</v>
      </c>
      <c r="Y229" s="25" t="str">
        <f aca="false">IF(AND(ISNUMBER(S229),OR(G229="Marge %",G229="Wachstumsrate %")),ABS(S229),"")</f>
        <v/>
      </c>
      <c r="Z229" s="0" t="str">
        <f aca="false">IFERROR(VLOOKUP(A229,Unternehmen!$A:$D,4,FALSE()),"")</f>
        <v>Versicherungen</v>
      </c>
    </row>
    <row r="230" customFormat="false" ht="15" hidden="false" customHeight="true" outlineLevel="0" collapsed="false">
      <c r="A230" s="15" t="s">
        <v>102</v>
      </c>
      <c r="B230" s="15" t="n">
        <v>2024</v>
      </c>
      <c r="C230" s="15" t="s">
        <v>15</v>
      </c>
      <c r="D230" s="28"/>
      <c r="E230" s="28"/>
      <c r="F230" s="28" t="s">
        <v>206</v>
      </c>
      <c r="G230" s="28"/>
      <c r="H230" s="28"/>
      <c r="I230" s="24"/>
      <c r="J230" s="24"/>
      <c r="K230" s="24"/>
      <c r="L230" s="24"/>
      <c r="M230" s="24"/>
      <c r="N230" s="40"/>
      <c r="O230" s="28"/>
      <c r="P230" s="28"/>
      <c r="Q230" s="18"/>
      <c r="R230" s="25" t="str">
        <f aca="false">IF(NOT(ISNUMBER(I230)),"",IF(F230="Mindestprognose",I230,IF(ISNUMBER(J230),(I230+J230)/2,I230)))</f>
        <v/>
      </c>
      <c r="S230" s="25" t="str">
        <f aca="false">IF(OR(R230="",NOT(ISNUMBER(L230))),"",R230-L230)</f>
        <v/>
      </c>
      <c r="T230" s="19" t="str">
        <f aca="false">IF(OR(S230="",G230&lt;&gt;"absolut",NOT(ISNUMBER(L230)),L230=0),"",S230/ABS(L230))</f>
        <v/>
      </c>
      <c r="U230" s="19" t="str">
        <f aca="false">IF(T230="","",ABS(T230))</f>
        <v/>
      </c>
      <c r="V230" s="20" t="str">
        <f aca="false">IF(OR(F230="Punkt",NOT(ISNUMBER(L230))),"",IF(F230="Mindestprognose",IF(L230&gt;=I230,1,0),IF(AND(ISNUMBER(I230),ISNUMBER(J230),I230&lt;&gt;J230),IF(AND(L230&gt;=I230,L230&lt;=J230),1,0),"")))</f>
        <v/>
      </c>
      <c r="W230" s="18"/>
      <c r="X230" s="0" t="str">
        <f aca="false">IF(OR(F230="qualitativ",F230="fehlend",NOT(ISNUMBER(L230))),"nicht auswertbar",IF(F230="Punkt","Punktprognose",IF(AND(ISNUMBER(I230),ISNUMBER(J230),I230&lt;&gt;J230),IF(L230&lt;I230,"unterhalb",IF(L230&gt;J230,"oberhalb","innerhalb")),"nicht auswertbar")))</f>
        <v>nicht auswertbar</v>
      </c>
      <c r="Y230" s="25" t="str">
        <f aca="false">IF(AND(ISNUMBER(S230),OR(G230="Marge %",G230="Wachstumsrate %")),ABS(S230),"")</f>
        <v/>
      </c>
      <c r="Z230" s="0" t="str">
        <f aca="false">IFERROR(VLOOKUP(A230,Unternehmen!$A:$D,4,FALSE()),"")</f>
        <v>Versicherungen</v>
      </c>
    </row>
    <row r="231" customFormat="false" ht="15" hidden="false" customHeight="true" outlineLevel="0" collapsed="false">
      <c r="A231" s="15" t="s">
        <v>102</v>
      </c>
      <c r="B231" s="15" t="n">
        <v>2024</v>
      </c>
      <c r="C231" s="15" t="s">
        <v>158</v>
      </c>
      <c r="D231" s="15" t="s">
        <v>451</v>
      </c>
      <c r="E231" s="15" t="n">
        <v>106</v>
      </c>
      <c r="F231" s="15" t="s">
        <v>176</v>
      </c>
      <c r="G231" s="15" t="s">
        <v>177</v>
      </c>
      <c r="H231" s="15" t="s">
        <v>178</v>
      </c>
      <c r="I231" s="17" t="n">
        <v>5000</v>
      </c>
      <c r="J231" s="17" t="n">
        <v>5000</v>
      </c>
      <c r="K231" s="17" t="n">
        <f aca="false">L229</f>
        <v>4597</v>
      </c>
      <c r="L231" s="17" t="n">
        <v>5671</v>
      </c>
      <c r="M231" s="17" t="n">
        <f aca="false">L231-K231</f>
        <v>1074</v>
      </c>
      <c r="N231" s="23" t="s">
        <v>174</v>
      </c>
      <c r="O231" s="15" t="s">
        <v>453</v>
      </c>
      <c r="P231" s="15" t="n">
        <v>204</v>
      </c>
      <c r="Q231" s="18"/>
      <c r="R231" s="25" t="n">
        <f aca="false">IF(NOT(ISNUMBER(I231)),"",IF(F231="Mindestprognose",I231,IF(ISNUMBER(J231),(I231+J231)/2,I231)))</f>
        <v>5000</v>
      </c>
      <c r="S231" s="25" t="n">
        <f aca="false">IF(OR(R231="",NOT(ISNUMBER(L231))),"",R231-L231)</f>
        <v>-671</v>
      </c>
      <c r="T231" s="19" t="n">
        <f aca="false">IF(OR(S231="",G231&lt;&gt;"absolut",NOT(ISNUMBER(L231)),L231=0),"",S231/ABS(L231))</f>
        <v>-0.118321283724211</v>
      </c>
      <c r="U231" s="19" t="n">
        <f aca="false">IF(T231="","",ABS(T231))</f>
        <v>0.118321283724211</v>
      </c>
      <c r="V231" s="20" t="str">
        <f aca="false">IF(OR(F231="Punkt",NOT(ISNUMBER(L231))),"",IF(F231="Mindestprognose",IF(L231&gt;=I231,1,0),IF(AND(ISNUMBER(I231),ISNUMBER(J231),I231&lt;&gt;J231),IF(AND(L231&gt;=I231,L231&lt;=J231),1,0),"")))</f>
        <v/>
      </c>
      <c r="W231" s="18"/>
      <c r="X231" s="0" t="str">
        <f aca="false">IF(OR(F231="qualitativ",F231="fehlend",NOT(ISNUMBER(L231))),"nicht auswertbar",IF(F231="Punkt","Punktprognose",IF(AND(ISNUMBER(I231),ISNUMBER(J231),I231&lt;&gt;J231),IF(L231&lt;I231,"unterhalb",IF(L231&gt;J231,"oberhalb","innerhalb")),"nicht auswertbar")))</f>
        <v>Punktprognose</v>
      </c>
      <c r="Y231" s="25" t="str">
        <f aca="false">IF(AND(ISNUMBER(S231),OR(G231="Marge %",G231="Wachstumsrate %")),ABS(S231),"")</f>
        <v/>
      </c>
      <c r="Z231" s="0" t="str">
        <f aca="false">IFERROR(VLOOKUP(A231,Unternehmen!$A:$D,4,FALSE()),"")</f>
        <v>Versicherungen</v>
      </c>
    </row>
    <row r="232" customFormat="false" ht="15" hidden="false" customHeight="true" outlineLevel="0" collapsed="false">
      <c r="A232" s="15" t="s">
        <v>106</v>
      </c>
      <c r="B232" s="15" t="n">
        <v>2020</v>
      </c>
      <c r="C232" s="15" t="s">
        <v>15</v>
      </c>
      <c r="D232" s="28"/>
      <c r="E232" s="28"/>
      <c r="F232" s="28" t="s">
        <v>206</v>
      </c>
      <c r="G232" s="28"/>
      <c r="H232" s="28"/>
      <c r="I232" s="24"/>
      <c r="J232" s="24"/>
      <c r="K232" s="24"/>
      <c r="L232" s="24"/>
      <c r="M232" s="24"/>
      <c r="N232" s="40"/>
      <c r="O232" s="28"/>
      <c r="P232" s="28"/>
      <c r="Q232" s="18"/>
      <c r="R232" s="25" t="str">
        <f aca="false">IF(NOT(ISNUMBER(I232)),"",IF(F232="Mindestprognose",I232,IF(ISNUMBER(J232),(I232+J232)/2,I232)))</f>
        <v/>
      </c>
      <c r="S232" s="25" t="str">
        <f aca="false">IF(OR(R232="",NOT(ISNUMBER(L232))),"",R232-L232)</f>
        <v/>
      </c>
      <c r="T232" s="19" t="str">
        <f aca="false">IF(OR(S232="",G232&lt;&gt;"absolut",NOT(ISNUMBER(L232)),L232=0),"",S232/ABS(L232))</f>
        <v/>
      </c>
      <c r="U232" s="19" t="str">
        <f aca="false">IF(T232="","",ABS(T232))</f>
        <v/>
      </c>
      <c r="V232" s="20" t="str">
        <f aca="false">IF(OR(F232="Punkt",NOT(ISNUMBER(L232))),"",IF(F232="Mindestprognose",IF(L232&gt;=I232,1,0),IF(AND(ISNUMBER(I232),ISNUMBER(J232),I232&lt;&gt;J232),IF(AND(L232&gt;=I232,L232&lt;=J232),1,0),"")))</f>
        <v/>
      </c>
      <c r="W232" s="18"/>
      <c r="X232" s="0" t="str">
        <f aca="false">IF(OR(F232="qualitativ",F232="fehlend",NOT(ISNUMBER(L232))),"nicht auswertbar",IF(F232="Punkt","Punktprognose",IF(AND(ISNUMBER(I232),ISNUMBER(J232),I232&lt;&gt;J232),IF(L232&lt;I232,"unterhalb",IF(L232&gt;J232,"oberhalb","innerhalb")),"nicht auswertbar")))</f>
        <v>nicht auswertbar</v>
      </c>
      <c r="Y232" s="25" t="str">
        <f aca="false">IF(AND(ISNUMBER(S232),OR(G232="Marge %",G232="Wachstumsrate %")),ABS(S232),"")</f>
        <v/>
      </c>
      <c r="Z232" s="0" t="str">
        <f aca="false">IFERROR(VLOOKUP(A232,Unternehmen!$A:$D,4,FALSE()),"")</f>
        <v>Versorger</v>
      </c>
    </row>
    <row r="233" customFormat="false" ht="15" hidden="false" customHeight="true" outlineLevel="0" collapsed="false">
      <c r="A233" s="15" t="s">
        <v>106</v>
      </c>
      <c r="B233" s="15" t="n">
        <v>2020</v>
      </c>
      <c r="C233" s="15" t="s">
        <v>158</v>
      </c>
      <c r="D233" s="15" t="s">
        <v>454</v>
      </c>
      <c r="E233" s="15" t="n">
        <v>94</v>
      </c>
      <c r="F233" s="15" t="s">
        <v>183</v>
      </c>
      <c r="G233" s="15" t="s">
        <v>177</v>
      </c>
      <c r="H233" s="15" t="s">
        <v>178</v>
      </c>
      <c r="I233" s="17" t="n">
        <v>2700</v>
      </c>
      <c r="J233" s="17" t="n">
        <v>3000</v>
      </c>
      <c r="K233" s="17" t="n">
        <v>2489</v>
      </c>
      <c r="L233" s="17" t="n">
        <v>3235</v>
      </c>
      <c r="M233" s="17" t="n">
        <f aca="false">L233-K233</f>
        <v>746</v>
      </c>
      <c r="N233" s="23" t="s">
        <v>174</v>
      </c>
      <c r="O233" s="15" t="s">
        <v>455</v>
      </c>
      <c r="P233" s="15" t="n">
        <v>3</v>
      </c>
      <c r="Q233" s="18"/>
      <c r="R233" s="25" t="n">
        <f aca="false">IF(NOT(ISNUMBER(I233)),"",IF(F233="Mindestprognose",I233,IF(ISNUMBER(J233),(I233+J233)/2,I233)))</f>
        <v>2850</v>
      </c>
      <c r="S233" s="25" t="n">
        <f aca="false">IF(OR(R233="",NOT(ISNUMBER(L233))),"",R233-L233)</f>
        <v>-385</v>
      </c>
      <c r="T233" s="19" t="n">
        <f aca="false">IF(OR(S233="",G233&lt;&gt;"absolut",NOT(ISNUMBER(L233)),L233=0),"",S233/ABS(L233))</f>
        <v>-0.119010819165379</v>
      </c>
      <c r="U233" s="19" t="n">
        <f aca="false">IF(T233="","",ABS(T233))</f>
        <v>0.119010819165379</v>
      </c>
      <c r="V233" s="20" t="n">
        <f aca="false">IF(OR(F233="Punkt",NOT(ISNUMBER(L233))),"",IF(F233="Mindestprognose",IF(L233&gt;=I233,1,0),IF(AND(ISNUMBER(I233),ISNUMBER(J233),I233&lt;&gt;J233),IF(AND(L233&gt;=I233,L233&lt;=J233),1,0),"")))</f>
        <v>0</v>
      </c>
      <c r="W233" s="18"/>
      <c r="X233" s="0" t="str">
        <f aca="false">IF(OR(F233="qualitativ",F233="fehlend",NOT(ISNUMBER(L233))),"nicht auswertbar",IF(F233="Punkt","Punktprognose",IF(AND(ISNUMBER(I233),ISNUMBER(J233),I233&lt;&gt;J233),IF(L233&lt;I233,"unterhalb",IF(L233&gt;J233,"oberhalb","innerhalb")),"nicht auswertbar")))</f>
        <v>oberhalb</v>
      </c>
      <c r="Y233" s="25" t="str">
        <f aca="false">IF(AND(ISNUMBER(S233),OR(G233="Marge %",G233="Wachstumsrate %")),ABS(S233),"")</f>
        <v/>
      </c>
      <c r="Z233" s="0" t="str">
        <f aca="false">IFERROR(VLOOKUP(A233,Unternehmen!$A:$D,4,FALSE()),"")</f>
        <v>Versorger</v>
      </c>
    </row>
    <row r="234" customFormat="false" ht="15" hidden="false" customHeight="true" outlineLevel="0" collapsed="false">
      <c r="A234" s="15" t="s">
        <v>106</v>
      </c>
      <c r="B234" s="15" t="n">
        <v>2021</v>
      </c>
      <c r="C234" s="15" t="s">
        <v>15</v>
      </c>
      <c r="D234" s="28"/>
      <c r="E234" s="28"/>
      <c r="F234" s="28" t="s">
        <v>206</v>
      </c>
      <c r="G234" s="28"/>
      <c r="H234" s="28"/>
      <c r="I234" s="24"/>
      <c r="J234" s="24"/>
      <c r="K234" s="24"/>
      <c r="L234" s="24"/>
      <c r="M234" s="24"/>
      <c r="N234" s="40"/>
      <c r="O234" s="28"/>
      <c r="P234" s="28"/>
      <c r="Q234" s="18"/>
      <c r="R234" s="25" t="str">
        <f aca="false">IF(NOT(ISNUMBER(I234)),"",IF(F234="Mindestprognose",I234,IF(ISNUMBER(J234),(I234+J234)/2,I234)))</f>
        <v/>
      </c>
      <c r="S234" s="25" t="str">
        <f aca="false">IF(OR(R234="",NOT(ISNUMBER(L234))),"",R234-L234)</f>
        <v/>
      </c>
      <c r="T234" s="19" t="str">
        <f aca="false">IF(OR(S234="",G234&lt;&gt;"absolut",NOT(ISNUMBER(L234)),L234=0),"",S234/ABS(L234))</f>
        <v/>
      </c>
      <c r="U234" s="19" t="str">
        <f aca="false">IF(T234="","",ABS(T234))</f>
        <v/>
      </c>
      <c r="V234" s="20" t="str">
        <f aca="false">IF(OR(F234="Punkt",NOT(ISNUMBER(L234))),"",IF(F234="Mindestprognose",IF(L234&gt;=I234,1,0),IF(AND(ISNUMBER(I234),ISNUMBER(J234),I234&lt;&gt;J234),IF(AND(L234&gt;=I234,L234&lt;=J234),1,0),"")))</f>
        <v/>
      </c>
      <c r="W234" s="18"/>
      <c r="X234" s="0" t="str">
        <f aca="false">IF(OR(F234="qualitativ",F234="fehlend",NOT(ISNUMBER(L234))),"nicht auswertbar",IF(F234="Punkt","Punktprognose",IF(AND(ISNUMBER(I234),ISNUMBER(J234),I234&lt;&gt;J234),IF(L234&lt;I234,"unterhalb",IF(L234&gt;J234,"oberhalb","innerhalb")),"nicht auswertbar")))</f>
        <v>nicht auswertbar</v>
      </c>
      <c r="Y234" s="25" t="str">
        <f aca="false">IF(AND(ISNUMBER(S234),OR(G234="Marge %",G234="Wachstumsrate %")),ABS(S234),"")</f>
        <v/>
      </c>
      <c r="Z234" s="0" t="str">
        <f aca="false">IFERROR(VLOOKUP(A234,Unternehmen!$A:$D,4,FALSE()),"")</f>
        <v>Versorger</v>
      </c>
    </row>
    <row r="235" customFormat="false" ht="15" hidden="false" customHeight="true" outlineLevel="0" collapsed="false">
      <c r="A235" s="15" t="s">
        <v>106</v>
      </c>
      <c r="B235" s="15" t="n">
        <v>2021</v>
      </c>
      <c r="C235" s="15" t="s">
        <v>158</v>
      </c>
      <c r="D235" s="15" t="s">
        <v>455</v>
      </c>
      <c r="E235" s="15" t="n">
        <v>67</v>
      </c>
      <c r="F235" s="15" t="s">
        <v>183</v>
      </c>
      <c r="G235" s="15" t="s">
        <v>177</v>
      </c>
      <c r="H235" s="15" t="s">
        <v>178</v>
      </c>
      <c r="I235" s="17" t="n">
        <v>2650</v>
      </c>
      <c r="J235" s="17" t="n">
        <v>3050</v>
      </c>
      <c r="K235" s="17" t="n">
        <v>3286</v>
      </c>
      <c r="L235" s="17" t="n">
        <v>3650</v>
      </c>
      <c r="M235" s="17" t="n">
        <f aca="false">L235-K235</f>
        <v>364</v>
      </c>
      <c r="N235" s="23" t="s">
        <v>174</v>
      </c>
      <c r="O235" s="15" t="s">
        <v>456</v>
      </c>
      <c r="P235" s="15" t="n">
        <v>3</v>
      </c>
      <c r="Q235" s="18" t="s">
        <v>457</v>
      </c>
      <c r="R235" s="25" t="n">
        <f aca="false">IF(NOT(ISNUMBER(I235)),"",IF(F235="Mindestprognose",I235,IF(ISNUMBER(J235),(I235+J235)/2,I235)))</f>
        <v>2850</v>
      </c>
      <c r="S235" s="25" t="n">
        <f aca="false">IF(OR(R235="",NOT(ISNUMBER(L235))),"",R235-L235)</f>
        <v>-800</v>
      </c>
      <c r="T235" s="19" t="n">
        <f aca="false">IF(OR(S235="",G235&lt;&gt;"absolut",NOT(ISNUMBER(L235)),L235=0),"",S235/ABS(L235))</f>
        <v>-0.219178082191781</v>
      </c>
      <c r="U235" s="19" t="n">
        <f aca="false">IF(T235="","",ABS(T235))</f>
        <v>0.219178082191781</v>
      </c>
      <c r="V235" s="20" t="n">
        <f aca="false">IF(OR(F235="Punkt",NOT(ISNUMBER(L235))),"",IF(F235="Mindestprognose",IF(L235&gt;=I235,1,0),IF(AND(ISNUMBER(I235),ISNUMBER(J235),I235&lt;&gt;J235),IF(AND(L235&gt;=I235,L235&lt;=J235),1,0),"")))</f>
        <v>0</v>
      </c>
      <c r="W235" s="18"/>
      <c r="X235" s="0" t="str">
        <f aca="false">IF(OR(F235="qualitativ",F235="fehlend",NOT(ISNUMBER(L235))),"nicht auswertbar",IF(F235="Punkt","Punktprognose",IF(AND(ISNUMBER(I235),ISNUMBER(J235),I235&lt;&gt;J235),IF(L235&lt;I235,"unterhalb",IF(L235&gt;J235,"oberhalb","innerhalb")),"nicht auswertbar")))</f>
        <v>oberhalb</v>
      </c>
      <c r="Y235" s="25" t="str">
        <f aca="false">IF(AND(ISNUMBER(S235),OR(G235="Marge %",G235="Wachstumsrate %")),ABS(S235),"")</f>
        <v/>
      </c>
      <c r="Z235" s="0" t="str">
        <f aca="false">IFERROR(VLOOKUP(A235,Unternehmen!$A:$D,4,FALSE()),"")</f>
        <v>Versorger</v>
      </c>
    </row>
    <row r="236" customFormat="false" ht="15" hidden="false" customHeight="true" outlineLevel="0" collapsed="false">
      <c r="A236" s="15" t="s">
        <v>106</v>
      </c>
      <c r="B236" s="15" t="n">
        <v>2022</v>
      </c>
      <c r="C236" s="15" t="s">
        <v>15</v>
      </c>
      <c r="D236" s="28"/>
      <c r="E236" s="28"/>
      <c r="F236" s="28" t="s">
        <v>206</v>
      </c>
      <c r="G236" s="28"/>
      <c r="H236" s="28"/>
      <c r="I236" s="24"/>
      <c r="J236" s="24"/>
      <c r="K236" s="24"/>
      <c r="L236" s="24"/>
      <c r="M236" s="24"/>
      <c r="N236" s="40"/>
      <c r="O236" s="28"/>
      <c r="P236" s="28"/>
      <c r="Q236" s="18"/>
      <c r="R236" s="25" t="str">
        <f aca="false">IF(NOT(ISNUMBER(I236)),"",IF(F236="Mindestprognose",I236,IF(ISNUMBER(J236),(I236+J236)/2,I236)))</f>
        <v/>
      </c>
      <c r="S236" s="25" t="str">
        <f aca="false">IF(OR(R236="",NOT(ISNUMBER(L236))),"",R236-L236)</f>
        <v/>
      </c>
      <c r="T236" s="19" t="str">
        <f aca="false">IF(OR(S236="",G236&lt;&gt;"absolut",NOT(ISNUMBER(L236)),L236=0),"",S236/ABS(L236))</f>
        <v/>
      </c>
      <c r="U236" s="19" t="str">
        <f aca="false">IF(T236="","",ABS(T236))</f>
        <v/>
      </c>
      <c r="V236" s="20" t="str">
        <f aca="false">IF(OR(F236="Punkt",NOT(ISNUMBER(L236))),"",IF(F236="Mindestprognose",IF(L236&gt;=I236,1,0),IF(AND(ISNUMBER(I236),ISNUMBER(J236),I236&lt;&gt;J236),IF(AND(L236&gt;=I236,L236&lt;=J236),1,0),"")))</f>
        <v/>
      </c>
      <c r="W236" s="18"/>
      <c r="X236" s="0" t="str">
        <f aca="false">IF(OR(F236="qualitativ",F236="fehlend",NOT(ISNUMBER(L236))),"nicht auswertbar",IF(F236="Punkt","Punktprognose",IF(AND(ISNUMBER(I236),ISNUMBER(J236),I236&lt;&gt;J236),IF(L236&lt;I236,"unterhalb",IF(L236&gt;J236,"oberhalb","innerhalb")),"nicht auswertbar")))</f>
        <v>nicht auswertbar</v>
      </c>
      <c r="Y236" s="25" t="str">
        <f aca="false">IF(AND(ISNUMBER(S236),OR(G236="Marge %",G236="Wachstumsrate %")),ABS(S236),"")</f>
        <v/>
      </c>
      <c r="Z236" s="0" t="str">
        <f aca="false">IFERROR(VLOOKUP(A236,Unternehmen!$A:$D,4,FALSE()),"")</f>
        <v>Versorger</v>
      </c>
    </row>
    <row r="237" customFormat="false" ht="15" hidden="false" customHeight="true" outlineLevel="0" collapsed="false">
      <c r="A237" s="15" t="s">
        <v>106</v>
      </c>
      <c r="B237" s="15" t="n">
        <v>2022</v>
      </c>
      <c r="C237" s="15" t="s">
        <v>158</v>
      </c>
      <c r="D237" s="15" t="s">
        <v>456</v>
      </c>
      <c r="E237" s="15" t="n">
        <v>67</v>
      </c>
      <c r="F237" s="15" t="s">
        <v>183</v>
      </c>
      <c r="G237" s="15" t="s">
        <v>177</v>
      </c>
      <c r="H237" s="15" t="s">
        <v>178</v>
      </c>
      <c r="I237" s="17" t="n">
        <v>3600</v>
      </c>
      <c r="J237" s="17" t="n">
        <v>4000</v>
      </c>
      <c r="K237" s="17" t="n">
        <f aca="false">L235</f>
        <v>3650</v>
      </c>
      <c r="L237" s="17" t="n">
        <v>6310</v>
      </c>
      <c r="M237" s="17" t="n">
        <f aca="false">L237-K237</f>
        <v>2660</v>
      </c>
      <c r="N237" s="23" t="s">
        <v>174</v>
      </c>
      <c r="O237" s="15" t="s">
        <v>458</v>
      </c>
      <c r="P237" s="15" t="n">
        <v>63</v>
      </c>
      <c r="Q237" s="18"/>
      <c r="R237" s="25" t="n">
        <f aca="false">IF(NOT(ISNUMBER(I237)),"",IF(F237="Mindestprognose",I237,IF(ISNUMBER(J237),(I237+J237)/2,I237)))</f>
        <v>3800</v>
      </c>
      <c r="S237" s="25" t="n">
        <f aca="false">IF(OR(R237="",NOT(ISNUMBER(L237))),"",R237-L237)</f>
        <v>-2510</v>
      </c>
      <c r="T237" s="19" t="n">
        <f aca="false">IF(OR(S237="",G237&lt;&gt;"absolut",NOT(ISNUMBER(L237)),L237=0),"",S237/ABS(L237))</f>
        <v>-0.397781299524564</v>
      </c>
      <c r="U237" s="19" t="n">
        <f aca="false">IF(T237="","",ABS(T237))</f>
        <v>0.397781299524564</v>
      </c>
      <c r="V237" s="20" t="n">
        <f aca="false">IF(OR(F237="Punkt",NOT(ISNUMBER(L237))),"",IF(F237="Mindestprognose",IF(L237&gt;=I237,1,0),IF(AND(ISNUMBER(I237),ISNUMBER(J237),I237&lt;&gt;J237),IF(AND(L237&gt;=I237,L237&lt;=J237),1,0),"")))</f>
        <v>0</v>
      </c>
      <c r="W237" s="18"/>
      <c r="X237" s="0" t="str">
        <f aca="false">IF(OR(F237="qualitativ",F237="fehlend",NOT(ISNUMBER(L237))),"nicht auswertbar",IF(F237="Punkt","Punktprognose",IF(AND(ISNUMBER(I237),ISNUMBER(J237),I237&lt;&gt;J237),IF(L237&lt;I237,"unterhalb",IF(L237&gt;J237,"oberhalb","innerhalb")),"nicht auswertbar")))</f>
        <v>oberhalb</v>
      </c>
      <c r="Y237" s="25" t="str">
        <f aca="false">IF(AND(ISNUMBER(S237),OR(G237="Marge %",G237="Wachstumsrate %")),ABS(S237),"")</f>
        <v/>
      </c>
      <c r="Z237" s="0" t="str">
        <f aca="false">IFERROR(VLOOKUP(A237,Unternehmen!$A:$D,4,FALSE()),"")</f>
        <v>Versorger</v>
      </c>
    </row>
    <row r="238" customFormat="false" ht="15" hidden="false" customHeight="true" outlineLevel="0" collapsed="false">
      <c r="A238" s="15" t="s">
        <v>106</v>
      </c>
      <c r="B238" s="15" t="n">
        <v>2023</v>
      </c>
      <c r="C238" s="15" t="s">
        <v>15</v>
      </c>
      <c r="D238" s="28"/>
      <c r="E238" s="28"/>
      <c r="F238" s="28" t="s">
        <v>206</v>
      </c>
      <c r="G238" s="28"/>
      <c r="H238" s="28"/>
      <c r="I238" s="24"/>
      <c r="J238" s="24"/>
      <c r="K238" s="24"/>
      <c r="L238" s="24"/>
      <c r="M238" s="24"/>
      <c r="N238" s="40"/>
      <c r="O238" s="28"/>
      <c r="P238" s="28"/>
      <c r="Q238" s="18"/>
      <c r="R238" s="25" t="str">
        <f aca="false">IF(NOT(ISNUMBER(I238)),"",IF(F238="Mindestprognose",I238,IF(ISNUMBER(J238),(I238+J238)/2,I238)))</f>
        <v/>
      </c>
      <c r="S238" s="25" t="str">
        <f aca="false">IF(OR(R238="",NOT(ISNUMBER(L238))),"",R238-L238)</f>
        <v/>
      </c>
      <c r="T238" s="19" t="str">
        <f aca="false">IF(OR(S238="",G238&lt;&gt;"absolut",NOT(ISNUMBER(L238)),L238=0),"",S238/ABS(L238))</f>
        <v/>
      </c>
      <c r="U238" s="19" t="str">
        <f aca="false">IF(T238="","",ABS(T238))</f>
        <v/>
      </c>
      <c r="V238" s="20" t="str">
        <f aca="false">IF(OR(F238="Punkt",NOT(ISNUMBER(L238))),"",IF(F238="Mindestprognose",IF(L238&gt;=I238,1,0),IF(AND(ISNUMBER(I238),ISNUMBER(J238),I238&lt;&gt;J238),IF(AND(L238&gt;=I238,L238&lt;=J238),1,0),"")))</f>
        <v/>
      </c>
      <c r="W238" s="18"/>
      <c r="X238" s="0" t="str">
        <f aca="false">IF(OR(F238="qualitativ",F238="fehlend",NOT(ISNUMBER(L238))),"nicht auswertbar",IF(F238="Punkt","Punktprognose",IF(AND(ISNUMBER(I238),ISNUMBER(J238),I238&lt;&gt;J238),IF(L238&lt;I238,"unterhalb",IF(L238&gt;J238,"oberhalb","innerhalb")),"nicht auswertbar")))</f>
        <v>nicht auswertbar</v>
      </c>
      <c r="Y238" s="25" t="str">
        <f aca="false">IF(AND(ISNUMBER(S238),OR(G238="Marge %",G238="Wachstumsrate %")),ABS(S238),"")</f>
        <v/>
      </c>
      <c r="Z238" s="0" t="str">
        <f aca="false">IFERROR(VLOOKUP(A238,Unternehmen!$A:$D,4,FALSE()),"")</f>
        <v>Versorger</v>
      </c>
    </row>
    <row r="239" customFormat="false" ht="15" hidden="false" customHeight="true" outlineLevel="0" collapsed="false">
      <c r="A239" s="15" t="s">
        <v>106</v>
      </c>
      <c r="B239" s="15" t="n">
        <v>2023</v>
      </c>
      <c r="C239" s="15" t="s">
        <v>158</v>
      </c>
      <c r="D239" s="15" t="s">
        <v>458</v>
      </c>
      <c r="E239" s="15" t="n">
        <v>63</v>
      </c>
      <c r="F239" s="15" t="s">
        <v>183</v>
      </c>
      <c r="G239" s="15" t="s">
        <v>177</v>
      </c>
      <c r="H239" s="15" t="s">
        <v>178</v>
      </c>
      <c r="I239" s="17" t="n">
        <v>5800</v>
      </c>
      <c r="J239" s="17" t="n">
        <v>6400</v>
      </c>
      <c r="K239" s="17" t="n">
        <f aca="false">L237</f>
        <v>6310</v>
      </c>
      <c r="L239" s="17" t="n">
        <v>8378</v>
      </c>
      <c r="M239" s="17" t="n">
        <f aca="false">L239-K239</f>
        <v>2068</v>
      </c>
      <c r="N239" s="23" t="s">
        <v>174</v>
      </c>
      <c r="O239" s="15" t="s">
        <v>459</v>
      </c>
      <c r="P239" s="15" t="n">
        <v>3</v>
      </c>
      <c r="Q239" s="18"/>
      <c r="R239" s="25" t="n">
        <f aca="false">IF(NOT(ISNUMBER(I239)),"",IF(F239="Mindestprognose",I239,IF(ISNUMBER(J239),(I239+J239)/2,I239)))</f>
        <v>6100</v>
      </c>
      <c r="S239" s="25" t="n">
        <f aca="false">IF(OR(R239="",NOT(ISNUMBER(L239))),"",R239-L239)</f>
        <v>-2278</v>
      </c>
      <c r="T239" s="19" t="n">
        <f aca="false">IF(OR(S239="",G239&lt;&gt;"absolut",NOT(ISNUMBER(L239)),L239=0),"",S239/ABS(L239))</f>
        <v>-0.271902602052996</v>
      </c>
      <c r="U239" s="19" t="n">
        <f aca="false">IF(T239="","",ABS(T239))</f>
        <v>0.271902602052996</v>
      </c>
      <c r="V239" s="20" t="n">
        <f aca="false">IF(OR(F239="Punkt",NOT(ISNUMBER(L239))),"",IF(F239="Mindestprognose",IF(L239&gt;=I239,1,0),IF(AND(ISNUMBER(I239),ISNUMBER(J239),I239&lt;&gt;J239),IF(AND(L239&gt;=I239,L239&lt;=J239),1,0),"")))</f>
        <v>0</v>
      </c>
      <c r="W239" s="18"/>
      <c r="X239" s="0" t="str">
        <f aca="false">IF(OR(F239="qualitativ",F239="fehlend",NOT(ISNUMBER(L239))),"nicht auswertbar",IF(F239="Punkt","Punktprognose",IF(AND(ISNUMBER(I239),ISNUMBER(J239),I239&lt;&gt;J239),IF(L239&lt;I239,"unterhalb",IF(L239&gt;J239,"oberhalb","innerhalb")),"nicht auswertbar")))</f>
        <v>oberhalb</v>
      </c>
      <c r="Y239" s="25" t="str">
        <f aca="false">IF(AND(ISNUMBER(S239),OR(G239="Marge %",G239="Wachstumsrate %")),ABS(S239),"")</f>
        <v/>
      </c>
      <c r="Z239" s="0" t="str">
        <f aca="false">IFERROR(VLOOKUP(A239,Unternehmen!$A:$D,4,FALSE()),"")</f>
        <v>Versorger</v>
      </c>
    </row>
    <row r="240" customFormat="false" ht="15" hidden="false" customHeight="true" outlineLevel="0" collapsed="false">
      <c r="A240" s="15" t="s">
        <v>106</v>
      </c>
      <c r="B240" s="15" t="n">
        <v>2024</v>
      </c>
      <c r="C240" s="15" t="s">
        <v>15</v>
      </c>
      <c r="D240" s="28"/>
      <c r="E240" s="28"/>
      <c r="F240" s="28" t="s">
        <v>206</v>
      </c>
      <c r="G240" s="28"/>
      <c r="H240" s="28"/>
      <c r="I240" s="24"/>
      <c r="J240" s="24"/>
      <c r="K240" s="24"/>
      <c r="L240" s="24"/>
      <c r="M240" s="24"/>
      <c r="N240" s="40"/>
      <c r="O240" s="28"/>
      <c r="P240" s="28"/>
      <c r="Q240" s="18"/>
      <c r="R240" s="25" t="str">
        <f aca="false">IF(NOT(ISNUMBER(I240)),"",IF(F240="Mindestprognose",I240,IF(ISNUMBER(J240),(I240+J240)/2,I240)))</f>
        <v/>
      </c>
      <c r="S240" s="25" t="str">
        <f aca="false">IF(OR(R240="",NOT(ISNUMBER(L240))),"",R240-L240)</f>
        <v/>
      </c>
      <c r="T240" s="19" t="str">
        <f aca="false">IF(OR(S240="",G240&lt;&gt;"absolut",NOT(ISNUMBER(L240)),L240=0),"",S240/ABS(L240))</f>
        <v/>
      </c>
      <c r="U240" s="19" t="str">
        <f aca="false">IF(T240="","",ABS(T240))</f>
        <v/>
      </c>
      <c r="V240" s="20" t="str">
        <f aca="false">IF(OR(F240="Punkt",NOT(ISNUMBER(L240))),"",IF(F240="Mindestprognose",IF(L240&gt;=I240,1,0),IF(AND(ISNUMBER(I240),ISNUMBER(J240),I240&lt;&gt;J240),IF(AND(L240&gt;=I240,L240&lt;=J240),1,0),"")))</f>
        <v/>
      </c>
      <c r="W240" s="18"/>
      <c r="X240" s="0" t="str">
        <f aca="false">IF(OR(F240="qualitativ",F240="fehlend",NOT(ISNUMBER(L240))),"nicht auswertbar",IF(F240="Punkt","Punktprognose",IF(AND(ISNUMBER(I240),ISNUMBER(J240),I240&lt;&gt;J240),IF(L240&lt;I240,"unterhalb",IF(L240&gt;J240,"oberhalb","innerhalb")),"nicht auswertbar")))</f>
        <v>nicht auswertbar</v>
      </c>
      <c r="Y240" s="25" t="str">
        <f aca="false">IF(AND(ISNUMBER(S240),OR(G240="Marge %",G240="Wachstumsrate %")),ABS(S240),"")</f>
        <v/>
      </c>
      <c r="Z240" s="0" t="str">
        <f aca="false">IFERROR(VLOOKUP(A240,Unternehmen!$A:$D,4,FALSE()),"")</f>
        <v>Versorger</v>
      </c>
    </row>
    <row r="241" customFormat="false" ht="15" hidden="false" customHeight="true" outlineLevel="0" collapsed="false">
      <c r="A241" s="15" t="s">
        <v>106</v>
      </c>
      <c r="B241" s="15" t="n">
        <v>2024</v>
      </c>
      <c r="C241" s="15" t="s">
        <v>158</v>
      </c>
      <c r="D241" s="15" t="s">
        <v>459</v>
      </c>
      <c r="E241" s="15" t="n">
        <v>61</v>
      </c>
      <c r="F241" s="15" t="s">
        <v>183</v>
      </c>
      <c r="G241" s="15" t="s">
        <v>177</v>
      </c>
      <c r="H241" s="15" t="s">
        <v>178</v>
      </c>
      <c r="I241" s="17" t="n">
        <v>5200</v>
      </c>
      <c r="J241" s="17" t="n">
        <v>5800</v>
      </c>
      <c r="K241" s="17" t="n">
        <v>7749</v>
      </c>
      <c r="L241" s="17" t="n">
        <v>5680</v>
      </c>
      <c r="M241" s="17" t="n">
        <f aca="false">L241-K241</f>
        <v>-2069</v>
      </c>
      <c r="N241" s="22" t="s">
        <v>164</v>
      </c>
      <c r="O241" s="15" t="s">
        <v>460</v>
      </c>
      <c r="P241" s="15" t="n">
        <v>3</v>
      </c>
      <c r="Q241" s="18" t="s">
        <v>461</v>
      </c>
      <c r="R241" s="25" t="n">
        <f aca="false">IF(NOT(ISNUMBER(I241)),"",IF(F241="Mindestprognose",I241,IF(ISNUMBER(J241),(I241+J241)/2,I241)))</f>
        <v>5500</v>
      </c>
      <c r="S241" s="25" t="n">
        <f aca="false">IF(OR(R241="",NOT(ISNUMBER(L241))),"",R241-L241)</f>
        <v>-180</v>
      </c>
      <c r="T241" s="19" t="n">
        <f aca="false">IF(OR(S241="",G241&lt;&gt;"absolut",NOT(ISNUMBER(L241)),L241=0),"",S241/ABS(L241))</f>
        <v>-0.0316901408450704</v>
      </c>
      <c r="U241" s="19" t="n">
        <f aca="false">IF(T241="","",ABS(T241))</f>
        <v>0.0316901408450704</v>
      </c>
      <c r="V241" s="20" t="n">
        <f aca="false">IF(OR(F241="Punkt",NOT(ISNUMBER(L241))),"",IF(F241="Mindestprognose",IF(L241&gt;=I241,1,0),IF(AND(ISNUMBER(I241),ISNUMBER(J241),I241&lt;&gt;J241),IF(AND(L241&gt;=I241,L241&lt;=J241),1,0),"")))</f>
        <v>1</v>
      </c>
      <c r="W241" s="18"/>
      <c r="X241" s="0" t="str">
        <f aca="false">IF(OR(F241="qualitativ",F241="fehlend",NOT(ISNUMBER(L241))),"nicht auswertbar",IF(F241="Punkt","Punktprognose",IF(AND(ISNUMBER(I241),ISNUMBER(J241),I241&lt;&gt;J241),IF(L241&lt;I241,"unterhalb",IF(L241&gt;J241,"oberhalb","innerhalb")),"nicht auswertbar")))</f>
        <v>innerhalb</v>
      </c>
      <c r="Y241" s="25" t="str">
        <f aca="false">IF(AND(ISNUMBER(S241),OR(G241="Marge %",G241="Wachstumsrate %")),ABS(S241),"")</f>
        <v/>
      </c>
      <c r="Z241" s="0" t="str">
        <f aca="false">IFERROR(VLOOKUP(A241,Unternehmen!$A:$D,4,FALSE()),"")</f>
        <v>Versorger</v>
      </c>
    </row>
    <row r="242" customFormat="false" ht="15" hidden="false" customHeight="true" outlineLevel="0" collapsed="false">
      <c r="A242" s="15" t="s">
        <v>109</v>
      </c>
      <c r="B242" s="15" t="n">
        <v>2020</v>
      </c>
      <c r="C242" s="15" t="s">
        <v>15</v>
      </c>
      <c r="D242" s="15" t="s">
        <v>462</v>
      </c>
      <c r="E242" s="15" t="n">
        <v>136</v>
      </c>
      <c r="F242" s="15" t="s">
        <v>153</v>
      </c>
      <c r="G242" s="15" t="s">
        <v>177</v>
      </c>
      <c r="H242" s="15" t="s">
        <v>184</v>
      </c>
      <c r="I242" s="17" t="n">
        <v>24.7</v>
      </c>
      <c r="J242" s="17" t="n">
        <v>25.1</v>
      </c>
      <c r="K242" s="17" t="n">
        <v>23.09</v>
      </c>
      <c r="L242" s="17" t="n">
        <v>23.72</v>
      </c>
      <c r="M242" s="17" t="n">
        <f aca="false">L242-K242</f>
        <v>0.629999999999999</v>
      </c>
      <c r="N242" s="17" t="s">
        <v>463</v>
      </c>
      <c r="O242" s="15" t="s">
        <v>464</v>
      </c>
      <c r="P242" s="15" t="n">
        <v>63</v>
      </c>
      <c r="Q242" s="18"/>
      <c r="R242" s="25" t="n">
        <f aca="false">IF(NOT(ISNUMBER(I242)),"",IF(F242="Mindestprognose",I242,IF(ISNUMBER(J242),(I242+J242)/2,I242)))</f>
        <v>24.9</v>
      </c>
      <c r="S242" s="25" t="n">
        <f aca="false">IF(OR(R242="",NOT(ISNUMBER(L242))),"",R242-L242)</f>
        <v>1.18</v>
      </c>
      <c r="T242" s="19" t="n">
        <f aca="false">IF(OR(S242="",G242&lt;&gt;"absolut",NOT(ISNUMBER(L242)),L242=0),"",S242/ABS(L242))</f>
        <v>0.0497470489038786</v>
      </c>
      <c r="U242" s="19" t="n">
        <f aca="false">IF(T242="","",ABS(T242))</f>
        <v>0.0497470489038786</v>
      </c>
      <c r="V242" s="20" t="n">
        <f aca="false">IF(OR(F242="Punkt",NOT(ISNUMBER(L242))),"",IF(F242="Mindestprognose",IF(L242&gt;=I242,1,0),IF(AND(ISNUMBER(I242),ISNUMBER(J242),I242&lt;&gt;J242),IF(AND(L242&gt;=I242,L242&lt;=J242),1,0),"")))</f>
        <v>0</v>
      </c>
      <c r="W242" s="18"/>
      <c r="X242" s="0" t="str">
        <f aca="false">IF(OR(F242="qualitativ",F242="fehlend",NOT(ISNUMBER(L242))),"nicht auswertbar",IF(F242="Punkt","Punktprognose",IF(AND(ISNUMBER(I242),ISNUMBER(J242),I242&lt;&gt;J242),IF(L242&lt;I242,"unterhalb",IF(L242&gt;J242,"oberhalb","innerhalb")),"nicht auswertbar")))</f>
        <v>unterhalb</v>
      </c>
      <c r="Y242" s="25" t="str">
        <f aca="false">IF(AND(ISNUMBER(S242),OR(G242="Marge %",G242="Wachstumsrate %")),ABS(S242),"")</f>
        <v/>
      </c>
      <c r="Z242" s="0" t="str">
        <f aca="false">IFERROR(VLOOKUP(A242,Unternehmen!$A:$D,4,FALSE()),"")</f>
        <v>Technologie</v>
      </c>
    </row>
    <row r="243" customFormat="false" ht="15" hidden="false" customHeight="true" outlineLevel="0" collapsed="false">
      <c r="A243" s="15" t="s">
        <v>109</v>
      </c>
      <c r="B243" s="15" t="n">
        <v>2020</v>
      </c>
      <c r="C243" s="15" t="s">
        <v>158</v>
      </c>
      <c r="D243" s="15" t="s">
        <v>462</v>
      </c>
      <c r="E243" s="15" t="n">
        <v>136</v>
      </c>
      <c r="F243" s="15" t="s">
        <v>153</v>
      </c>
      <c r="G243" s="15" t="s">
        <v>177</v>
      </c>
      <c r="H243" s="15" t="s">
        <v>184</v>
      </c>
      <c r="I243" s="17" t="n">
        <v>8.9</v>
      </c>
      <c r="J243" s="17" t="n">
        <v>9.3</v>
      </c>
      <c r="K243" s="17" t="n">
        <v>8.208</v>
      </c>
      <c r="L243" s="17" t="n">
        <v>8.503</v>
      </c>
      <c r="M243" s="17" t="n">
        <f aca="false">L243-K243</f>
        <v>0.295</v>
      </c>
      <c r="N243" s="17" t="s">
        <v>465</v>
      </c>
      <c r="O243" s="15" t="s">
        <v>464</v>
      </c>
      <c r="P243" s="15" t="n">
        <v>63</v>
      </c>
      <c r="Q243" s="18"/>
      <c r="R243" s="25" t="n">
        <f aca="false">IF(NOT(ISNUMBER(I243)),"",IF(F243="Mindestprognose",I243,IF(ISNUMBER(J243),(I243+J243)/2,I243)))</f>
        <v>9.1</v>
      </c>
      <c r="S243" s="25" t="n">
        <f aca="false">IF(OR(R243="",NOT(ISNUMBER(L243))),"",R243-L243)</f>
        <v>0.597000000000001</v>
      </c>
      <c r="T243" s="19" t="n">
        <f aca="false">IF(OR(S243="",G243&lt;&gt;"absolut",NOT(ISNUMBER(L243)),L243=0),"",S243/ABS(L243))</f>
        <v>0.070210513936258</v>
      </c>
      <c r="U243" s="19" t="n">
        <f aca="false">IF(T243="","",ABS(T243))</f>
        <v>0.070210513936258</v>
      </c>
      <c r="V243" s="20" t="n">
        <f aca="false">IF(OR(F243="Punkt",NOT(ISNUMBER(L243))),"",IF(F243="Mindestprognose",IF(L243&gt;=I243,1,0),IF(AND(ISNUMBER(I243),ISNUMBER(J243),I243&lt;&gt;J243),IF(AND(L243&gt;=I243,L243&lt;=J243),1,0),"")))</f>
        <v>0</v>
      </c>
      <c r="W243" s="18"/>
      <c r="X243" s="0" t="str">
        <f aca="false">IF(OR(F243="qualitativ",F243="fehlend",NOT(ISNUMBER(L243))),"nicht auswertbar",IF(F243="Punkt","Punktprognose",IF(AND(ISNUMBER(I243),ISNUMBER(J243),I243&lt;&gt;J243),IF(L243&lt;I243,"unterhalb",IF(L243&gt;J243,"oberhalb","innerhalb")),"nicht auswertbar")))</f>
        <v>unterhalb</v>
      </c>
      <c r="Y243" s="25" t="str">
        <f aca="false">IF(AND(ISNUMBER(S243),OR(G243="Marge %",G243="Wachstumsrate %")),ABS(S243),"")</f>
        <v/>
      </c>
      <c r="Z243" s="0" t="str">
        <f aca="false">IFERROR(VLOOKUP(A243,Unternehmen!$A:$D,4,FALSE()),"")</f>
        <v>Technologie</v>
      </c>
    </row>
    <row r="244" customFormat="false" ht="15" hidden="false" customHeight="true" outlineLevel="0" collapsed="false">
      <c r="A244" s="15" t="s">
        <v>109</v>
      </c>
      <c r="B244" s="15" t="n">
        <v>2021</v>
      </c>
      <c r="C244" s="15" t="s">
        <v>15</v>
      </c>
      <c r="D244" s="15" t="s">
        <v>464</v>
      </c>
      <c r="E244" s="15" t="n">
        <v>136</v>
      </c>
      <c r="F244" s="15" t="s">
        <v>153</v>
      </c>
      <c r="G244" s="15" t="s">
        <v>177</v>
      </c>
      <c r="H244" s="15" t="s">
        <v>184</v>
      </c>
      <c r="I244" s="17" t="n">
        <v>23.3</v>
      </c>
      <c r="J244" s="17" t="n">
        <v>23.8</v>
      </c>
      <c r="K244" s="17" t="n">
        <f aca="false">L242</f>
        <v>23.72</v>
      </c>
      <c r="L244" s="17" t="n">
        <v>24.41</v>
      </c>
      <c r="M244" s="17" t="n">
        <f aca="false">L244-K244</f>
        <v>0.690000000000001</v>
      </c>
      <c r="N244" s="23" t="s">
        <v>174</v>
      </c>
      <c r="O244" s="15" t="s">
        <v>466</v>
      </c>
      <c r="P244" s="15" t="n">
        <v>60</v>
      </c>
      <c r="Q244" s="18"/>
      <c r="R244" s="25" t="n">
        <f aca="false">IF(NOT(ISNUMBER(I244)),"",IF(F244="Mindestprognose",I244,IF(ISNUMBER(J244),(I244+J244)/2,I244)))</f>
        <v>23.55</v>
      </c>
      <c r="S244" s="25" t="n">
        <f aca="false">IF(OR(R244="",NOT(ISNUMBER(L244))),"",R244-L244)</f>
        <v>-0.859999999999999</v>
      </c>
      <c r="T244" s="19" t="n">
        <f aca="false">IF(OR(S244="",G244&lt;&gt;"absolut",NOT(ISNUMBER(L244)),L244=0),"",S244/ABS(L244))</f>
        <v>-0.0352314625153625</v>
      </c>
      <c r="U244" s="19" t="n">
        <f aca="false">IF(T244="","",ABS(T244))</f>
        <v>0.0352314625153625</v>
      </c>
      <c r="V244" s="20" t="n">
        <f aca="false">IF(OR(F244="Punkt",NOT(ISNUMBER(L244))),"",IF(F244="Mindestprognose",IF(L244&gt;=I244,1,0),IF(AND(ISNUMBER(I244),ISNUMBER(J244),I244&lt;&gt;J244),IF(AND(L244&gt;=I244,L244&lt;=J244),1,0),"")))</f>
        <v>0</v>
      </c>
      <c r="W244" s="18"/>
      <c r="X244" s="0" t="str">
        <f aca="false">IF(OR(F244="qualitativ",F244="fehlend",NOT(ISNUMBER(L244))),"nicht auswertbar",IF(F244="Punkt","Punktprognose",IF(AND(ISNUMBER(I244),ISNUMBER(J244),I244&lt;&gt;J244),IF(L244&lt;I244,"unterhalb",IF(L244&gt;J244,"oberhalb","innerhalb")),"nicht auswertbar")))</f>
        <v>oberhalb</v>
      </c>
      <c r="Y244" s="25" t="str">
        <f aca="false">IF(AND(ISNUMBER(S244),OR(G244="Marge %",G244="Wachstumsrate %")),ABS(S244),"")</f>
        <v/>
      </c>
      <c r="Z244" s="0" t="str">
        <f aca="false">IFERROR(VLOOKUP(A244,Unternehmen!$A:$D,4,FALSE()),"")</f>
        <v>Technologie</v>
      </c>
    </row>
    <row r="245" customFormat="false" ht="15" hidden="false" customHeight="true" outlineLevel="0" collapsed="false">
      <c r="A245" s="15" t="s">
        <v>109</v>
      </c>
      <c r="B245" s="15" t="n">
        <v>2021</v>
      </c>
      <c r="C245" s="15" t="s">
        <v>158</v>
      </c>
      <c r="D245" s="15" t="s">
        <v>464</v>
      </c>
      <c r="E245" s="15" t="n">
        <v>136</v>
      </c>
      <c r="F245" s="15" t="s">
        <v>153</v>
      </c>
      <c r="G245" s="15" t="s">
        <v>177</v>
      </c>
      <c r="H245" s="15" t="s">
        <v>184</v>
      </c>
      <c r="I245" s="17" t="n">
        <v>7.8</v>
      </c>
      <c r="J245" s="17" t="n">
        <v>8.2</v>
      </c>
      <c r="K245" s="17" t="n">
        <f aca="false">L243</f>
        <v>8.503</v>
      </c>
      <c r="L245" s="17" t="n">
        <v>8.408</v>
      </c>
      <c r="M245" s="17" t="n">
        <f aca="false">L245-K245</f>
        <v>-0.0950000000000006</v>
      </c>
      <c r="N245" s="23" t="s">
        <v>174</v>
      </c>
      <c r="O245" s="15" t="s">
        <v>466</v>
      </c>
      <c r="P245" s="15" t="n">
        <v>70</v>
      </c>
      <c r="Q245" s="18"/>
      <c r="R245" s="25" t="n">
        <f aca="false">IF(NOT(ISNUMBER(I245)),"",IF(F245="Mindestprognose",I245,IF(ISNUMBER(J245),(I245+J245)/2,I245)))</f>
        <v>8</v>
      </c>
      <c r="S245" s="25" t="n">
        <f aca="false">IF(OR(R245="",NOT(ISNUMBER(L245))),"",R245-L245)</f>
        <v>-0.408</v>
      </c>
      <c r="T245" s="19" t="n">
        <f aca="false">IF(OR(S245="",G245&lt;&gt;"absolut",NOT(ISNUMBER(L245)),L245=0),"",S245/ABS(L245))</f>
        <v>-0.0485252140818268</v>
      </c>
      <c r="U245" s="19" t="n">
        <f aca="false">IF(T245="","",ABS(T245))</f>
        <v>0.0485252140818268</v>
      </c>
      <c r="V245" s="20" t="n">
        <f aca="false">IF(OR(F245="Punkt",NOT(ISNUMBER(L245))),"",IF(F245="Mindestprognose",IF(L245&gt;=I245,1,0),IF(AND(ISNUMBER(I245),ISNUMBER(J245),I245&lt;&gt;J245),IF(AND(L245&gt;=I245,L245&lt;=J245),1,0),"")))</f>
        <v>0</v>
      </c>
      <c r="W245" s="18"/>
      <c r="X245" s="0" t="str">
        <f aca="false">IF(OR(F245="qualitativ",F245="fehlend",NOT(ISNUMBER(L245))),"nicht auswertbar",IF(F245="Punkt","Punktprognose",IF(AND(ISNUMBER(I245),ISNUMBER(J245),I245&lt;&gt;J245),IF(L245&lt;I245,"unterhalb",IF(L245&gt;J245,"oberhalb","innerhalb")),"nicht auswertbar")))</f>
        <v>oberhalb</v>
      </c>
      <c r="Y245" s="25" t="str">
        <f aca="false">IF(AND(ISNUMBER(S245),OR(G245="Marge %",G245="Wachstumsrate %")),ABS(S245),"")</f>
        <v/>
      </c>
      <c r="Z245" s="0" t="str">
        <f aca="false">IFERROR(VLOOKUP(A245,Unternehmen!$A:$D,4,FALSE()),"")</f>
        <v>Technologie</v>
      </c>
    </row>
    <row r="246" customFormat="false" ht="15" hidden="false" customHeight="true" outlineLevel="0" collapsed="false">
      <c r="A246" s="15" t="s">
        <v>109</v>
      </c>
      <c r="B246" s="15" t="n">
        <v>2022</v>
      </c>
      <c r="C246" s="15" t="s">
        <v>15</v>
      </c>
      <c r="D246" s="15" t="s">
        <v>466</v>
      </c>
      <c r="E246" s="15" t="n">
        <v>60</v>
      </c>
      <c r="F246" s="15" t="s">
        <v>153</v>
      </c>
      <c r="G246" s="15" t="s">
        <v>177</v>
      </c>
      <c r="H246" s="15" t="s">
        <v>184</v>
      </c>
      <c r="I246" s="17" t="n">
        <v>25</v>
      </c>
      <c r="J246" s="17" t="n">
        <v>25.5</v>
      </c>
      <c r="K246" s="17" t="n">
        <f aca="false">L244</f>
        <v>24.41</v>
      </c>
      <c r="L246" s="17" t="n">
        <v>25.018</v>
      </c>
      <c r="M246" s="17" t="n">
        <f aca="false">L246-K246</f>
        <v>0.608000000000001</v>
      </c>
      <c r="N246" s="22" t="s">
        <v>164</v>
      </c>
      <c r="O246" s="15" t="s">
        <v>467</v>
      </c>
      <c r="P246" s="15" t="n">
        <v>63</v>
      </c>
      <c r="Q246" s="18"/>
      <c r="R246" s="25" t="n">
        <f aca="false">IF(NOT(ISNUMBER(I246)),"",IF(F246="Mindestprognose",I246,IF(ISNUMBER(J246),(I246+J246)/2,I246)))</f>
        <v>25.25</v>
      </c>
      <c r="S246" s="25" t="n">
        <f aca="false">IF(OR(R246="",NOT(ISNUMBER(L246))),"",R246-L246)</f>
        <v>0.231999999999999</v>
      </c>
      <c r="T246" s="19" t="n">
        <f aca="false">IF(OR(S246="",G246&lt;&gt;"absolut",NOT(ISNUMBER(L246)),L246=0),"",S246/ABS(L246))</f>
        <v>0.00927332320729072</v>
      </c>
      <c r="U246" s="19" t="n">
        <f aca="false">IF(T246="","",ABS(T246))</f>
        <v>0.00927332320729072</v>
      </c>
      <c r="V246" s="20" t="n">
        <f aca="false">IF(OR(F246="Punkt",NOT(ISNUMBER(L246))),"",IF(F246="Mindestprognose",IF(L246&gt;=I246,1,0),IF(AND(ISNUMBER(I246),ISNUMBER(J246),I246&lt;&gt;J246),IF(AND(L246&gt;=I246,L246&lt;=J246),1,0),"")))</f>
        <v>1</v>
      </c>
      <c r="W246" s="18"/>
      <c r="X246" s="0" t="str">
        <f aca="false">IF(OR(F246="qualitativ",F246="fehlend",NOT(ISNUMBER(L246))),"nicht auswertbar",IF(F246="Punkt","Punktprognose",IF(AND(ISNUMBER(I246),ISNUMBER(J246),I246&lt;&gt;J246),IF(L246&lt;I246,"unterhalb",IF(L246&gt;J246,"oberhalb","innerhalb")),"nicht auswertbar")))</f>
        <v>innerhalb</v>
      </c>
      <c r="Y246" s="25" t="str">
        <f aca="false">IF(AND(ISNUMBER(S246),OR(G246="Marge %",G246="Wachstumsrate %")),ABS(S246),"")</f>
        <v/>
      </c>
      <c r="Z246" s="0" t="str">
        <f aca="false">IFERROR(VLOOKUP(A246,Unternehmen!$A:$D,4,FALSE()),"")</f>
        <v>Technologie</v>
      </c>
    </row>
    <row r="247" customFormat="false" ht="15" hidden="false" customHeight="true" outlineLevel="0" collapsed="false">
      <c r="A247" s="15" t="s">
        <v>109</v>
      </c>
      <c r="B247" s="15" t="n">
        <v>2022</v>
      </c>
      <c r="C247" s="15" t="s">
        <v>158</v>
      </c>
      <c r="D247" s="15" t="s">
        <v>466</v>
      </c>
      <c r="E247" s="15" t="n">
        <v>60</v>
      </c>
      <c r="F247" s="15" t="s">
        <v>153</v>
      </c>
      <c r="G247" s="15" t="s">
        <v>177</v>
      </c>
      <c r="H247" s="15" t="s">
        <v>184</v>
      </c>
      <c r="I247" s="17" t="n">
        <v>7.8</v>
      </c>
      <c r="J247" s="17" t="n">
        <v>8.25</v>
      </c>
      <c r="K247" s="17" t="n">
        <f aca="false">L245</f>
        <v>8.408</v>
      </c>
      <c r="L247" s="17" t="n">
        <v>7.683</v>
      </c>
      <c r="M247" s="17" t="n">
        <f aca="false">L247-K247</f>
        <v>-0.725</v>
      </c>
      <c r="N247" s="15" t="s">
        <v>468</v>
      </c>
      <c r="O247" s="15" t="s">
        <v>467</v>
      </c>
      <c r="P247" s="15" t="n">
        <v>63</v>
      </c>
      <c r="Q247" s="18"/>
      <c r="R247" s="25" t="n">
        <f aca="false">IF(NOT(ISNUMBER(I247)),"",IF(F247="Mindestprognose",I247,IF(ISNUMBER(J247),(I247+J247)/2,I247)))</f>
        <v>8.025</v>
      </c>
      <c r="S247" s="25" t="n">
        <f aca="false">IF(OR(R247="",NOT(ISNUMBER(L247))),"",R247-L247)</f>
        <v>0.342000000000001</v>
      </c>
      <c r="T247" s="19" t="n">
        <f aca="false">IF(OR(S247="",G247&lt;&gt;"absolut",NOT(ISNUMBER(L247)),L247=0),"",S247/ABS(L247))</f>
        <v>0.0445138617727451</v>
      </c>
      <c r="U247" s="19" t="n">
        <f aca="false">IF(T247="","",ABS(T247))</f>
        <v>0.0445138617727451</v>
      </c>
      <c r="V247" s="20" t="n">
        <f aca="false">IF(OR(F247="Punkt",NOT(ISNUMBER(L247))),"",IF(F247="Mindestprognose",IF(L247&gt;=I247,1,0),IF(AND(ISNUMBER(I247),ISNUMBER(J247),I247&lt;&gt;J247),IF(AND(L247&gt;=I247,L247&lt;=J247),1,0),"")))</f>
        <v>0</v>
      </c>
      <c r="W247" s="18"/>
      <c r="X247" s="0" t="str">
        <f aca="false">IF(OR(F247="qualitativ",F247="fehlend",NOT(ISNUMBER(L247))),"nicht auswertbar",IF(F247="Punkt","Punktprognose",IF(AND(ISNUMBER(I247),ISNUMBER(J247),I247&lt;&gt;J247),IF(L247&lt;I247,"unterhalb",IF(L247&gt;J247,"oberhalb","innerhalb")),"nicht auswertbar")))</f>
        <v>unterhalb</v>
      </c>
      <c r="Y247" s="25" t="str">
        <f aca="false">IF(AND(ISNUMBER(S247),OR(G247="Marge %",G247="Wachstumsrate %")),ABS(S247),"")</f>
        <v/>
      </c>
      <c r="Z247" s="0" t="str">
        <f aca="false">IFERROR(VLOOKUP(A247,Unternehmen!$A:$D,4,FALSE()),"")</f>
        <v>Technologie</v>
      </c>
    </row>
    <row r="248" customFormat="false" ht="15" hidden="false" customHeight="true" outlineLevel="0" collapsed="false">
      <c r="A248" s="15" t="s">
        <v>109</v>
      </c>
      <c r="B248" s="15" t="n">
        <v>2023</v>
      </c>
      <c r="C248" s="15" t="s">
        <v>15</v>
      </c>
      <c r="D248" s="15" t="s">
        <v>467</v>
      </c>
      <c r="E248" s="15" t="n">
        <v>63</v>
      </c>
      <c r="F248" s="15" t="s">
        <v>153</v>
      </c>
      <c r="G248" s="15" t="s">
        <v>177</v>
      </c>
      <c r="H248" s="15" t="s">
        <v>184</v>
      </c>
      <c r="I248" s="17" t="n">
        <v>28.2</v>
      </c>
      <c r="J248" s="17" t="n">
        <v>28.7</v>
      </c>
      <c r="K248" s="17" t="n">
        <f aca="false">L246</f>
        <v>25.018</v>
      </c>
      <c r="L248" s="17" t="n">
        <v>27.641</v>
      </c>
      <c r="M248" s="17" t="n">
        <f aca="false">L248-K248</f>
        <v>2.623</v>
      </c>
      <c r="N248" s="15" t="s">
        <v>469</v>
      </c>
      <c r="O248" s="15" t="s">
        <v>470</v>
      </c>
      <c r="P248" s="15" t="n">
        <v>71</v>
      </c>
      <c r="Q248" s="18"/>
      <c r="R248" s="25" t="n">
        <f aca="false">IF(NOT(ISNUMBER(I248)),"",IF(F248="Mindestprognose",I248,IF(ISNUMBER(J248),(I248+J248)/2,I248)))</f>
        <v>28.45</v>
      </c>
      <c r="S248" s="25" t="n">
        <f aca="false">IF(OR(R248="",NOT(ISNUMBER(L248))),"",R248-L248)</f>
        <v>0.809000000000001</v>
      </c>
      <c r="T248" s="19" t="n">
        <f aca="false">IF(OR(S248="",G248&lt;&gt;"absolut",NOT(ISNUMBER(L248)),L248=0),"",S248/ABS(L248))</f>
        <v>0.0292681162041895</v>
      </c>
      <c r="U248" s="19" t="n">
        <f aca="false">IF(T248="","",ABS(T248))</f>
        <v>0.0292681162041895</v>
      </c>
      <c r="V248" s="20" t="n">
        <f aca="false">IF(OR(F248="Punkt",NOT(ISNUMBER(L248))),"",IF(F248="Mindestprognose",IF(L248&gt;=I248,1,0),IF(AND(ISNUMBER(I248),ISNUMBER(J248),I248&lt;&gt;J248),IF(AND(L248&gt;=I248,L248&lt;=J248),1,0),"")))</f>
        <v>0</v>
      </c>
      <c r="W248" s="18"/>
      <c r="X248" s="0" t="str">
        <f aca="false">IF(OR(F248="qualitativ",F248="fehlend",NOT(ISNUMBER(L248))),"nicht auswertbar",IF(F248="Punkt","Punktprognose",IF(AND(ISNUMBER(I248),ISNUMBER(J248),I248&lt;&gt;J248),IF(L248&lt;I248,"unterhalb",IF(L248&gt;J248,"oberhalb","innerhalb")),"nicht auswertbar")))</f>
        <v>unterhalb</v>
      </c>
      <c r="Y248" s="25" t="str">
        <f aca="false">IF(AND(ISNUMBER(S248),OR(G248="Marge %",G248="Wachstumsrate %")),ABS(S248),"")</f>
        <v/>
      </c>
      <c r="Z248" s="0" t="str">
        <f aca="false">IFERROR(VLOOKUP(A248,Unternehmen!$A:$D,4,FALSE()),"")</f>
        <v>Technologie</v>
      </c>
    </row>
    <row r="249" customFormat="false" ht="15" hidden="false" customHeight="true" outlineLevel="0" collapsed="false">
      <c r="A249" s="15" t="s">
        <v>109</v>
      </c>
      <c r="B249" s="15" t="n">
        <v>2023</v>
      </c>
      <c r="C249" s="15" t="s">
        <v>158</v>
      </c>
      <c r="D249" s="15" t="s">
        <v>467</v>
      </c>
      <c r="E249" s="15" t="n">
        <v>63</v>
      </c>
      <c r="F249" s="15" t="s">
        <v>153</v>
      </c>
      <c r="G249" s="15" t="s">
        <v>177</v>
      </c>
      <c r="H249" s="15" t="s">
        <v>184</v>
      </c>
      <c r="I249" s="17" t="n">
        <v>8.8</v>
      </c>
      <c r="J249" s="17" t="n">
        <v>9.1</v>
      </c>
      <c r="K249" s="17" t="n">
        <f aca="false">L247</f>
        <v>7.683</v>
      </c>
      <c r="L249" s="17" t="n">
        <v>9.04</v>
      </c>
      <c r="M249" s="17" t="n">
        <f aca="false">L249-K249</f>
        <v>1.357</v>
      </c>
      <c r="N249" s="23" t="s">
        <v>174</v>
      </c>
      <c r="O249" s="15" t="s">
        <v>470</v>
      </c>
      <c r="P249" s="15" t="n">
        <v>61</v>
      </c>
      <c r="Q249" s="18"/>
      <c r="R249" s="25" t="n">
        <f aca="false">IF(NOT(ISNUMBER(I249)),"",IF(F249="Mindestprognose",I249,IF(ISNUMBER(J249),(I249+J249)/2,I249)))</f>
        <v>8.95</v>
      </c>
      <c r="S249" s="25" t="n">
        <f aca="false">IF(OR(R249="",NOT(ISNUMBER(L249))),"",R249-L249)</f>
        <v>-0.0899999999999999</v>
      </c>
      <c r="T249" s="19" t="n">
        <f aca="false">IF(OR(S249="",G249&lt;&gt;"absolut",NOT(ISNUMBER(L249)),L249=0),"",S249/ABS(L249))</f>
        <v>-0.00995575221238937</v>
      </c>
      <c r="U249" s="19" t="n">
        <f aca="false">IF(T249="","",ABS(T249))</f>
        <v>0.00995575221238937</v>
      </c>
      <c r="V249" s="20" t="n">
        <f aca="false">IF(OR(F249="Punkt",NOT(ISNUMBER(L249))),"",IF(F249="Mindestprognose",IF(L249&gt;=I249,1,0),IF(AND(ISNUMBER(I249),ISNUMBER(J249),I249&lt;&gt;J249),IF(AND(L249&gt;=I249,L249&lt;=J249),1,0),"")))</f>
        <v>1</v>
      </c>
      <c r="W249" s="18"/>
      <c r="X249" s="0" t="str">
        <f aca="false">IF(OR(F249="qualitativ",F249="fehlend",NOT(ISNUMBER(L249))),"nicht auswertbar",IF(F249="Punkt","Punktprognose",IF(AND(ISNUMBER(I249),ISNUMBER(J249),I249&lt;&gt;J249),IF(L249&lt;I249,"unterhalb",IF(L249&gt;J249,"oberhalb","innerhalb")),"nicht auswertbar")))</f>
        <v>innerhalb</v>
      </c>
      <c r="Y249" s="25" t="str">
        <f aca="false">IF(AND(ISNUMBER(S249),OR(G249="Marge %",G249="Wachstumsrate %")),ABS(S249),"")</f>
        <v/>
      </c>
      <c r="Z249" s="0" t="str">
        <f aca="false">IFERROR(VLOOKUP(A249,Unternehmen!$A:$D,4,FALSE()),"")</f>
        <v>Technologie</v>
      </c>
    </row>
    <row r="250" customFormat="false" ht="15" hidden="false" customHeight="true" outlineLevel="0" collapsed="false">
      <c r="A250" s="15" t="s">
        <v>109</v>
      </c>
      <c r="B250" s="15" t="n">
        <v>2024</v>
      </c>
      <c r="C250" s="15" t="s">
        <v>15</v>
      </c>
      <c r="D250" s="15" t="s">
        <v>470</v>
      </c>
      <c r="E250" s="15" t="n">
        <v>61</v>
      </c>
      <c r="F250" s="15" t="s">
        <v>153</v>
      </c>
      <c r="G250" s="15" t="s">
        <v>177</v>
      </c>
      <c r="H250" s="15" t="s">
        <v>184</v>
      </c>
      <c r="I250" s="17" t="n">
        <v>29</v>
      </c>
      <c r="J250" s="17" t="n">
        <v>29.5</v>
      </c>
      <c r="K250" s="17" t="n">
        <f aca="false">L248</f>
        <v>27.641</v>
      </c>
      <c r="L250" s="17" t="n">
        <v>29.96</v>
      </c>
      <c r="M250" s="17" t="n">
        <f aca="false">L250-K250</f>
        <v>2.319</v>
      </c>
      <c r="N250" s="23" t="s">
        <v>174</v>
      </c>
      <c r="O250" s="15" t="s">
        <v>471</v>
      </c>
      <c r="P250" s="15" t="n">
        <v>62</v>
      </c>
      <c r="Q250" s="18"/>
      <c r="R250" s="25" t="n">
        <f aca="false">IF(NOT(ISNUMBER(I250)),"",IF(F250="Mindestprognose",I250,IF(ISNUMBER(J250),(I250+J250)/2,I250)))</f>
        <v>29.25</v>
      </c>
      <c r="S250" s="25" t="n">
        <f aca="false">IF(OR(R250="",NOT(ISNUMBER(L250))),"",R250-L250)</f>
        <v>-0.710000000000001</v>
      </c>
      <c r="T250" s="19" t="n">
        <f aca="false">IF(OR(S250="",G250&lt;&gt;"absolut",NOT(ISNUMBER(L250)),L250=0),"",S250/ABS(L250))</f>
        <v>-0.02369826435247</v>
      </c>
      <c r="U250" s="19" t="n">
        <f aca="false">IF(T250="","",ABS(T250))</f>
        <v>0.02369826435247</v>
      </c>
      <c r="V250" s="20" t="n">
        <f aca="false">IF(OR(F250="Punkt",NOT(ISNUMBER(L250))),"",IF(F250="Mindestprognose",IF(L250&gt;=I250,1,0),IF(AND(ISNUMBER(I250),ISNUMBER(J250),I250&lt;&gt;J250),IF(AND(L250&gt;=I250,L250&lt;=J250),1,0),"")))</f>
        <v>0</v>
      </c>
      <c r="W250" s="18"/>
      <c r="X250" s="0" t="str">
        <f aca="false">IF(OR(F250="qualitativ",F250="fehlend",NOT(ISNUMBER(L250))),"nicht auswertbar",IF(F250="Punkt","Punktprognose",IF(AND(ISNUMBER(I250),ISNUMBER(J250),I250&lt;&gt;J250),IF(L250&lt;I250,"unterhalb",IF(L250&gt;J250,"oberhalb","innerhalb")),"nicht auswertbar")))</f>
        <v>oberhalb</v>
      </c>
      <c r="Y250" s="25" t="str">
        <f aca="false">IF(AND(ISNUMBER(S250),OR(G250="Marge %",G250="Wachstumsrate %")),ABS(S250),"")</f>
        <v/>
      </c>
      <c r="Z250" s="0" t="str">
        <f aca="false">IFERROR(VLOOKUP(A250,Unternehmen!$A:$D,4,FALSE()),"")</f>
        <v>Technologie</v>
      </c>
    </row>
    <row r="251" customFormat="false" ht="15" hidden="false" customHeight="true" outlineLevel="0" collapsed="false">
      <c r="A251" s="15" t="s">
        <v>109</v>
      </c>
      <c r="B251" s="15" t="n">
        <v>2024</v>
      </c>
      <c r="C251" s="15" t="s">
        <v>158</v>
      </c>
      <c r="D251" s="15" t="s">
        <v>470</v>
      </c>
      <c r="E251" s="15" t="n">
        <v>61</v>
      </c>
      <c r="F251" s="15" t="s">
        <v>153</v>
      </c>
      <c r="G251" s="15" t="s">
        <v>177</v>
      </c>
      <c r="H251" s="15" t="s">
        <v>184</v>
      </c>
      <c r="I251" s="17" t="n">
        <v>7.6</v>
      </c>
      <c r="J251" s="17" t="n">
        <v>7.9</v>
      </c>
      <c r="K251" s="17" t="n">
        <f aca="false">L249</f>
        <v>9.04</v>
      </c>
      <c r="L251" s="17" t="n">
        <v>8.23</v>
      </c>
      <c r="M251" s="17" t="n">
        <f aca="false">L251-K251</f>
        <v>-0.809999999999999</v>
      </c>
      <c r="N251" s="23" t="s">
        <v>174</v>
      </c>
      <c r="O251" s="15" t="s">
        <v>471</v>
      </c>
      <c r="P251" s="15" t="n">
        <v>62</v>
      </c>
      <c r="Q251" s="18"/>
      <c r="R251" s="25" t="n">
        <f aca="false">IF(NOT(ISNUMBER(I251)),"",IF(F251="Mindestprognose",I251,IF(ISNUMBER(J251),(I251+J251)/2,I251)))</f>
        <v>7.75</v>
      </c>
      <c r="S251" s="25" t="n">
        <f aca="false">IF(OR(R251="",NOT(ISNUMBER(L251))),"",R251-L251)</f>
        <v>-0.48</v>
      </c>
      <c r="T251" s="19" t="n">
        <f aca="false">IF(OR(S251="",G251&lt;&gt;"absolut",NOT(ISNUMBER(L251)),L251=0),"",S251/ABS(L251))</f>
        <v>-0.0583232077764278</v>
      </c>
      <c r="U251" s="19" t="n">
        <f aca="false">IF(T251="","",ABS(T251))</f>
        <v>0.0583232077764278</v>
      </c>
      <c r="V251" s="20" t="n">
        <f aca="false">IF(OR(F251="Punkt",NOT(ISNUMBER(L251))),"",IF(F251="Mindestprognose",IF(L251&gt;=I251,1,0),IF(AND(ISNUMBER(I251),ISNUMBER(J251),I251&lt;&gt;J251),IF(AND(L251&gt;=I251,L251&lt;=J251),1,0),"")))</f>
        <v>0</v>
      </c>
      <c r="W251" s="18"/>
      <c r="X251" s="0" t="str">
        <f aca="false">IF(OR(F251="qualitativ",F251="fehlend",NOT(ISNUMBER(L251))),"nicht auswertbar",IF(F251="Punkt","Punktprognose",IF(AND(ISNUMBER(I251),ISNUMBER(J251),I251&lt;&gt;J251),IF(L251&lt;I251,"unterhalb",IF(L251&gt;J251,"oberhalb","innerhalb")),"nicht auswertbar")))</f>
        <v>oberhalb</v>
      </c>
      <c r="Y251" s="25" t="str">
        <f aca="false">IF(AND(ISNUMBER(S251),OR(G251="Marge %",G251="Wachstumsrate %")),ABS(S251),"")</f>
        <v/>
      </c>
      <c r="Z251" s="0" t="str">
        <f aca="false">IFERROR(VLOOKUP(A251,Unternehmen!$A:$D,4,FALSE()),"")</f>
        <v>Technologie</v>
      </c>
    </row>
    <row r="252" customFormat="false" ht="15" hidden="false" customHeight="true" outlineLevel="0" collapsed="false">
      <c r="A252" s="15" t="s">
        <v>114</v>
      </c>
      <c r="B252" s="15" t="n">
        <v>2020</v>
      </c>
      <c r="C252" s="15" t="s">
        <v>15</v>
      </c>
      <c r="D252" s="15" t="s">
        <v>472</v>
      </c>
      <c r="E252" s="15" t="n">
        <v>29</v>
      </c>
      <c r="F252" s="15" t="s">
        <v>187</v>
      </c>
      <c r="G252" s="15" t="s">
        <v>177</v>
      </c>
      <c r="H252" s="15" t="s">
        <v>178</v>
      </c>
      <c r="I252" s="24"/>
      <c r="J252" s="24"/>
      <c r="K252" s="17" t="n">
        <v>58483</v>
      </c>
      <c r="L252" s="17" t="n">
        <v>57139</v>
      </c>
      <c r="M252" s="17" t="n">
        <f aca="false">L252-K252</f>
        <v>-1344</v>
      </c>
      <c r="N252" s="15" t="s">
        <v>351</v>
      </c>
      <c r="O252" s="15" t="s">
        <v>473</v>
      </c>
      <c r="P252" s="15" t="n">
        <v>96</v>
      </c>
      <c r="Q252" s="18"/>
      <c r="R252" s="25" t="str">
        <f aca="false">IF(NOT(ISNUMBER(I252)),"",IF(F252="Mindestprognose",I252,IF(ISNUMBER(J252),(I252+J252)/2,I252)))</f>
        <v/>
      </c>
      <c r="S252" s="25" t="str">
        <f aca="false">IF(OR(R252="",NOT(ISNUMBER(L252))),"",R252-L252)</f>
        <v/>
      </c>
      <c r="T252" s="19" t="str">
        <f aca="false">IF(OR(S252="",G252&lt;&gt;"absolut",NOT(ISNUMBER(L252)),L252=0),"",S252/ABS(L252))</f>
        <v/>
      </c>
      <c r="U252" s="19" t="str">
        <f aca="false">IF(T252="","",ABS(T252))</f>
        <v/>
      </c>
      <c r="V252" s="20" t="str">
        <f aca="false">IF(OR(F252="Punkt",NOT(ISNUMBER(L252))),"",IF(F252="Mindestprognose",IF(L252&gt;=I252,1,0),IF(AND(ISNUMBER(I252),ISNUMBER(J252),I252&lt;&gt;J252),IF(AND(L252&gt;=I252,L252&lt;=J252),1,0),"")))</f>
        <v/>
      </c>
      <c r="W252" s="18" t="s">
        <v>189</v>
      </c>
      <c r="X252" s="0" t="str">
        <f aca="false">IF(OR(F252="qualitativ",F252="fehlend",NOT(ISNUMBER(L252))),"nicht auswertbar",IF(F252="Punkt","Punktprognose",IF(AND(ISNUMBER(I252),ISNUMBER(J252),I252&lt;&gt;J252),IF(L252&lt;I252,"unterhalb",IF(L252&gt;J252,"oberhalb","innerhalb")),"nicht auswertbar")))</f>
        <v>nicht auswertbar</v>
      </c>
      <c r="Y252" s="25" t="str">
        <f aca="false">IF(AND(ISNUMBER(S252),OR(G252="Marge %",G252="Wachstumsrate %")),ABS(S252),"")</f>
        <v/>
      </c>
      <c r="Z252" s="0" t="str">
        <f aca="false">IFERROR(VLOOKUP(A252,Unternehmen!$A:$D,4,FALSE()),"")</f>
        <v>Industrie</v>
      </c>
    </row>
    <row r="253" customFormat="false" ht="15" hidden="false" customHeight="true" outlineLevel="0" collapsed="false">
      <c r="A253" s="15" t="s">
        <v>114</v>
      </c>
      <c r="B253" s="15" t="n">
        <v>2020</v>
      </c>
      <c r="C253" s="15" t="s">
        <v>158</v>
      </c>
      <c r="D253" s="15" t="s">
        <v>472</v>
      </c>
      <c r="E253" s="15" t="n">
        <v>28</v>
      </c>
      <c r="F253" s="15" t="s">
        <v>187</v>
      </c>
      <c r="G253" s="15" t="s">
        <v>159</v>
      </c>
      <c r="H253" s="15" t="s">
        <v>160</v>
      </c>
      <c r="I253" s="24"/>
      <c r="J253" s="24"/>
      <c r="K253" s="16" t="n">
        <v>0.144</v>
      </c>
      <c r="L253" s="16" t="n">
        <v>0.143</v>
      </c>
      <c r="M253" s="16" t="s">
        <v>383</v>
      </c>
      <c r="N253" s="28" t="s">
        <v>474</v>
      </c>
      <c r="O253" s="15" t="s">
        <v>473</v>
      </c>
      <c r="P253" s="15" t="n">
        <v>23</v>
      </c>
      <c r="Q253" s="18" t="s">
        <v>475</v>
      </c>
      <c r="R253" s="19" t="str">
        <f aca="false">IF(NOT(ISNUMBER(I253)),"",IF(F253="Mindestprognose",I253,IF(ISNUMBER(J253),(I253+J253)/2,I253)))</f>
        <v/>
      </c>
      <c r="S253" s="19" t="str">
        <f aca="false">IF(OR(R253="",NOT(ISNUMBER(L253))),"",R253-L253)</f>
        <v/>
      </c>
      <c r="T253" s="19" t="str">
        <f aca="false">IF(OR(S253="",G253&lt;&gt;"absolut",NOT(ISNUMBER(L253)),L253=0),"",S253/ABS(L253))</f>
        <v/>
      </c>
      <c r="U253" s="19" t="str">
        <f aca="false">IF(T253="","",ABS(T253))</f>
        <v/>
      </c>
      <c r="V253" s="20" t="str">
        <f aca="false">IF(OR(F253="Punkt",NOT(ISNUMBER(L253))),"",IF(F253="Mindestprognose",IF(L253&gt;=I253,1,0),IF(AND(ISNUMBER(I253),ISNUMBER(J253),I253&lt;&gt;J253),IF(AND(L253&gt;=I253,L253&lt;=J253),1,0),"")))</f>
        <v/>
      </c>
      <c r="W253" s="18"/>
      <c r="X253" s="0" t="str">
        <f aca="false">IF(OR(F253="qualitativ",F253="fehlend",NOT(ISNUMBER(L253))),"nicht auswertbar",IF(F253="Punkt","Punktprognose",IF(AND(ISNUMBER(I253),ISNUMBER(J253),I253&lt;&gt;J253),IF(L253&lt;I253,"unterhalb",IF(L253&gt;J253,"oberhalb","innerhalb")),"nicht auswertbar")))</f>
        <v>nicht auswertbar</v>
      </c>
      <c r="Y253" s="19" t="str">
        <f aca="false">IF(AND(ISNUMBER(S253),OR(G253="Marge %",G253="Wachstumsrate %")),ABS(S253),"")</f>
        <v/>
      </c>
      <c r="Z253" s="0" t="str">
        <f aca="false">IFERROR(VLOOKUP(A253,Unternehmen!$A:$D,4,FALSE()),"")</f>
        <v>Industrie</v>
      </c>
    </row>
    <row r="254" customFormat="false" ht="15" hidden="false" customHeight="true" outlineLevel="0" collapsed="false">
      <c r="A254" s="15" t="s">
        <v>114</v>
      </c>
      <c r="B254" s="15" t="n">
        <v>2021</v>
      </c>
      <c r="C254" s="15" t="s">
        <v>15</v>
      </c>
      <c r="D254" s="15" t="s">
        <v>473</v>
      </c>
      <c r="E254" s="15" t="n">
        <v>36</v>
      </c>
      <c r="F254" s="15" t="s">
        <v>187</v>
      </c>
      <c r="G254" s="15" t="s">
        <v>177</v>
      </c>
      <c r="H254" s="15" t="s">
        <v>178</v>
      </c>
      <c r="I254" s="24"/>
      <c r="J254" s="24"/>
      <c r="K254" s="17" t="n">
        <f aca="false">L252</f>
        <v>57139</v>
      </c>
      <c r="L254" s="17" t="n">
        <v>62265</v>
      </c>
      <c r="M254" s="17" t="n">
        <f aca="false">L254-K254</f>
        <v>5126</v>
      </c>
      <c r="N254" s="22" t="s">
        <v>164</v>
      </c>
      <c r="O254" s="15" t="s">
        <v>476</v>
      </c>
      <c r="P254" s="15" t="s">
        <v>477</v>
      </c>
      <c r="Q254" s="18"/>
      <c r="R254" s="25" t="str">
        <f aca="false">IF(NOT(ISNUMBER(I254)),"",IF(F254="Mindestprognose",I254,IF(ISNUMBER(J254),(I254+J254)/2,I254)))</f>
        <v/>
      </c>
      <c r="S254" s="25" t="str">
        <f aca="false">IF(OR(R254="",NOT(ISNUMBER(L254))),"",R254-L254)</f>
        <v/>
      </c>
      <c r="T254" s="19" t="str">
        <f aca="false">IF(OR(S254="",G254&lt;&gt;"absolut",NOT(ISNUMBER(L254)),L254=0),"",S254/ABS(L254))</f>
        <v/>
      </c>
      <c r="U254" s="19" t="str">
        <f aca="false">IF(T254="","",ABS(T254))</f>
        <v/>
      </c>
      <c r="V254" s="20" t="str">
        <f aca="false">IF(OR(F254="Punkt",NOT(ISNUMBER(L254))),"",IF(F254="Mindestprognose",IF(L254&gt;=I254,1,0),IF(AND(ISNUMBER(I254),ISNUMBER(J254),I254&lt;&gt;J254),IF(AND(L254&gt;=I254,L254&lt;=J254),1,0),"")))</f>
        <v/>
      </c>
      <c r="W254" s="18" t="s">
        <v>189</v>
      </c>
      <c r="X254" s="0" t="str">
        <f aca="false">IF(OR(F254="qualitativ",F254="fehlend",NOT(ISNUMBER(L254))),"nicht auswertbar",IF(F254="Punkt","Punktprognose",IF(AND(ISNUMBER(I254),ISNUMBER(J254),I254&lt;&gt;J254),IF(L254&lt;I254,"unterhalb",IF(L254&gt;J254,"oberhalb","innerhalb")),"nicht auswertbar")))</f>
        <v>nicht auswertbar</v>
      </c>
      <c r="Y254" s="25" t="str">
        <f aca="false">IF(AND(ISNUMBER(S254),OR(G254="Marge %",G254="Wachstumsrate %")),ABS(S254),"")</f>
        <v/>
      </c>
      <c r="Z254" s="0" t="str">
        <f aca="false">IFERROR(VLOOKUP(A254,Unternehmen!$A:$D,4,FALSE()),"")</f>
        <v>Industrie</v>
      </c>
    </row>
    <row r="255" customFormat="false" ht="15" hidden="false" customHeight="true" outlineLevel="0" collapsed="false">
      <c r="A255" s="15" t="s">
        <v>114</v>
      </c>
      <c r="B255" s="15" t="n">
        <v>2021</v>
      </c>
      <c r="C255" s="15" t="s">
        <v>158</v>
      </c>
      <c r="D255" s="15" t="s">
        <v>473</v>
      </c>
      <c r="E255" s="15" t="n">
        <v>35</v>
      </c>
      <c r="F255" s="15" t="s">
        <v>187</v>
      </c>
      <c r="G255" s="15" t="s">
        <v>159</v>
      </c>
      <c r="H255" s="15" t="s">
        <v>160</v>
      </c>
      <c r="I255" s="24"/>
      <c r="J255" s="24"/>
      <c r="K255" s="16" t="n">
        <f aca="false">L253</f>
        <v>0.143</v>
      </c>
      <c r="L255" s="16" t="n">
        <v>0.15</v>
      </c>
      <c r="M255" s="16" t="s">
        <v>270</v>
      </c>
      <c r="N255" s="33" t="s">
        <v>304</v>
      </c>
      <c r="O255" s="15" t="s">
        <v>476</v>
      </c>
      <c r="P255" s="15" t="s">
        <v>478</v>
      </c>
      <c r="Q255" s="18"/>
      <c r="R255" s="19" t="str">
        <f aca="false">IF(NOT(ISNUMBER(I255)),"",IF(F255="Mindestprognose",I255,IF(ISNUMBER(J255),(I255+J255)/2,I255)))</f>
        <v/>
      </c>
      <c r="S255" s="19" t="str">
        <f aca="false">IF(OR(R255="",NOT(ISNUMBER(L255))),"",R255-L255)</f>
        <v/>
      </c>
      <c r="T255" s="19" t="str">
        <f aca="false">IF(OR(S255="",G255&lt;&gt;"absolut",NOT(ISNUMBER(L255)),L255=0),"",S255/ABS(L255))</f>
        <v/>
      </c>
      <c r="U255" s="19" t="str">
        <f aca="false">IF(T255="","",ABS(T255))</f>
        <v/>
      </c>
      <c r="V255" s="20" t="str">
        <f aca="false">IF(OR(F255="Punkt",NOT(ISNUMBER(L255))),"",IF(F255="Mindestprognose",IF(L255&gt;=I255,1,0),IF(AND(ISNUMBER(I255),ISNUMBER(J255),I255&lt;&gt;J255),IF(AND(L255&gt;=I255,L255&lt;=J255),1,0),"")))</f>
        <v/>
      </c>
      <c r="W255" s="18" t="s">
        <v>479</v>
      </c>
      <c r="X255" s="0" t="str">
        <f aca="false">IF(OR(F255="qualitativ",F255="fehlend",NOT(ISNUMBER(L255))),"nicht auswertbar",IF(F255="Punkt","Punktprognose",IF(AND(ISNUMBER(I255),ISNUMBER(J255),I255&lt;&gt;J255),IF(L255&lt;I255,"unterhalb",IF(L255&gt;J255,"oberhalb","innerhalb")),"nicht auswertbar")))</f>
        <v>nicht auswertbar</v>
      </c>
      <c r="Y255" s="19" t="str">
        <f aca="false">IF(AND(ISNUMBER(S255),OR(G255="Marge %",G255="Wachstumsrate %")),ABS(S255),"")</f>
        <v/>
      </c>
      <c r="Z255" s="0" t="str">
        <f aca="false">IFERROR(VLOOKUP(A255,Unternehmen!$A:$D,4,FALSE()),"")</f>
        <v>Industrie</v>
      </c>
    </row>
    <row r="256" customFormat="false" ht="15" hidden="false" customHeight="true" outlineLevel="0" collapsed="false">
      <c r="A256" s="15" t="s">
        <v>114</v>
      </c>
      <c r="B256" s="15" t="n">
        <v>2022</v>
      </c>
      <c r="C256" s="15" t="s">
        <v>15</v>
      </c>
      <c r="D256" s="15" t="s">
        <v>476</v>
      </c>
      <c r="E256" s="15" t="s">
        <v>480</v>
      </c>
      <c r="F256" s="15" t="s">
        <v>235</v>
      </c>
      <c r="G256" s="15" t="s">
        <v>154</v>
      </c>
      <c r="H256" s="15" t="s">
        <v>155</v>
      </c>
      <c r="I256" s="16" t="n">
        <v>0.04</v>
      </c>
      <c r="J256" s="16" t="n">
        <v>0.06</v>
      </c>
      <c r="K256" s="27"/>
      <c r="L256" s="16" t="n">
        <v>0.082</v>
      </c>
      <c r="M256" s="27"/>
      <c r="N256" s="23" t="s">
        <v>174</v>
      </c>
      <c r="O256" s="15" t="s">
        <v>481</v>
      </c>
      <c r="P256" s="15" t="s">
        <v>482</v>
      </c>
      <c r="Q256" s="18"/>
      <c r="R256" s="19" t="n">
        <f aca="false">IF(NOT(ISNUMBER(I256)),"",IF(F256="Mindestprognose",I256,IF(ISNUMBER(J256),(I256+J256)/2,I256)))</f>
        <v>0.05</v>
      </c>
      <c r="S256" s="19" t="n">
        <f aca="false">IF(OR(R256="",NOT(ISNUMBER(L256))),"",R256-L256)</f>
        <v>-0.032</v>
      </c>
      <c r="T256" s="19" t="str">
        <f aca="false">IF(OR(S256="",G256&lt;&gt;"absolut",NOT(ISNUMBER(L256)),L256=0),"",S256/ABS(L256))</f>
        <v/>
      </c>
      <c r="U256" s="19" t="str">
        <f aca="false">IF(T256="","",ABS(T256))</f>
        <v/>
      </c>
      <c r="V256" s="20" t="n">
        <f aca="false">IF(OR(F256="Punkt",NOT(ISNUMBER(L256))),"",IF(F256="Mindestprognose",IF(L256&gt;=I256,1,0),IF(AND(ISNUMBER(I256),ISNUMBER(J256),I256&lt;&gt;J256),IF(AND(L256&gt;=I256,L256&lt;=J256),1,0),"")))</f>
        <v>0</v>
      </c>
      <c r="W256" s="18"/>
      <c r="X256" s="0" t="str">
        <f aca="false">IF(OR(F256="qualitativ",F256="fehlend",NOT(ISNUMBER(L256))),"nicht auswertbar",IF(F256="Punkt","Punktprognose",IF(AND(ISNUMBER(I256),ISNUMBER(J256),I256&lt;&gt;J256),IF(L256&lt;I256,"unterhalb",IF(L256&gt;J256,"oberhalb","innerhalb")),"nicht auswertbar")))</f>
        <v>oberhalb</v>
      </c>
      <c r="Y256" s="19" t="n">
        <f aca="false">IF(AND(ISNUMBER(S256),OR(G256="Marge %",G256="Wachstumsrate %")),ABS(S256),"")</f>
        <v>0.032</v>
      </c>
      <c r="Z256" s="0" t="str">
        <f aca="false">IFERROR(VLOOKUP(A256,Unternehmen!$A:$D,4,FALSE()),"")</f>
        <v>Industrie</v>
      </c>
    </row>
    <row r="257" customFormat="false" ht="15" hidden="false" customHeight="true" outlineLevel="0" collapsed="false">
      <c r="A257" s="15" t="s">
        <v>114</v>
      </c>
      <c r="B257" s="15" t="n">
        <v>2022</v>
      </c>
      <c r="C257" s="15" t="s">
        <v>158</v>
      </c>
      <c r="D257" s="15" t="s">
        <v>476</v>
      </c>
      <c r="E257" s="15" t="s">
        <v>483</v>
      </c>
      <c r="F257" s="15" t="s">
        <v>153</v>
      </c>
      <c r="G257" s="15" t="s">
        <v>177</v>
      </c>
      <c r="H257" s="15" t="s">
        <v>484</v>
      </c>
      <c r="I257" s="17" t="n">
        <v>8.7</v>
      </c>
      <c r="J257" s="17" t="n">
        <v>9.1</v>
      </c>
      <c r="K257" s="17" t="n">
        <v>8.32</v>
      </c>
      <c r="L257" s="17" t="n">
        <v>5.47</v>
      </c>
      <c r="M257" s="17" t="n">
        <f aca="false">L257-K257</f>
        <v>-2.85</v>
      </c>
      <c r="N257" s="17" t="s">
        <v>485</v>
      </c>
      <c r="O257" s="15" t="s">
        <v>481</v>
      </c>
      <c r="P257" s="15" t="s">
        <v>486</v>
      </c>
      <c r="Q257" s="18" t="s">
        <v>487</v>
      </c>
      <c r="R257" s="25" t="n">
        <f aca="false">IF(NOT(ISNUMBER(I257)),"",IF(F257="Mindestprognose",I257,IF(ISNUMBER(J257),(I257+J257)/2,I257)))</f>
        <v>8.9</v>
      </c>
      <c r="S257" s="25" t="n">
        <f aca="false">IF(OR(R257="",NOT(ISNUMBER(L257))),"",R257-L257)</f>
        <v>3.43</v>
      </c>
      <c r="T257" s="19" t="n">
        <f aca="false">IF(OR(S257="",G257&lt;&gt;"absolut",NOT(ISNUMBER(L257)),L257=0),"",S257/ABS(L257))</f>
        <v>0.627056672760512</v>
      </c>
      <c r="U257" s="19" t="n">
        <f aca="false">IF(T257="","",ABS(T257))</f>
        <v>0.627056672760512</v>
      </c>
      <c r="V257" s="20" t="n">
        <f aca="false">IF(OR(F257="Punkt",NOT(ISNUMBER(L257))),"",IF(F257="Mindestprognose",IF(L257&gt;=I257,1,0),IF(AND(ISNUMBER(I257),ISNUMBER(J257),I257&lt;&gt;J257),IF(AND(L257&gt;=I257,L257&lt;=J257),1,0),"")))</f>
        <v>0</v>
      </c>
      <c r="W257" s="18"/>
      <c r="X257" s="0" t="str">
        <f aca="false">IF(OR(F257="qualitativ",F257="fehlend",NOT(ISNUMBER(L257))),"nicht auswertbar",IF(F257="Punkt","Punktprognose",IF(AND(ISNUMBER(I257),ISNUMBER(J257),I257&lt;&gt;J257),IF(L257&lt;I257,"unterhalb",IF(L257&gt;J257,"oberhalb","innerhalb")),"nicht auswertbar")))</f>
        <v>unterhalb</v>
      </c>
      <c r="Y257" s="25" t="str">
        <f aca="false">IF(AND(ISNUMBER(S257),OR(G257="Marge %",G257="Wachstumsrate %")),ABS(S257),"")</f>
        <v/>
      </c>
      <c r="Z257" s="0" t="str">
        <f aca="false">IFERROR(VLOOKUP(A257,Unternehmen!$A:$D,4,FALSE()),"")</f>
        <v>Industrie</v>
      </c>
    </row>
    <row r="258" customFormat="false" ht="15" hidden="false" customHeight="true" outlineLevel="0" collapsed="false">
      <c r="A258" s="15" t="s">
        <v>114</v>
      </c>
      <c r="B258" s="15" t="n">
        <v>2023</v>
      </c>
      <c r="C258" s="15" t="s">
        <v>15</v>
      </c>
      <c r="D258" s="15" t="s">
        <v>481</v>
      </c>
      <c r="E258" s="15" t="s">
        <v>488</v>
      </c>
      <c r="F258" s="15" t="s">
        <v>153</v>
      </c>
      <c r="G258" s="15" t="s">
        <v>154</v>
      </c>
      <c r="H258" s="15" t="s">
        <v>155</v>
      </c>
      <c r="I258" s="16" t="n">
        <v>0.06</v>
      </c>
      <c r="J258" s="16" t="n">
        <v>0.09</v>
      </c>
      <c r="K258" s="16" t="n">
        <f aca="false">L256</f>
        <v>0.082</v>
      </c>
      <c r="L258" s="16" t="n">
        <v>0.11</v>
      </c>
      <c r="M258" s="16" t="s">
        <v>489</v>
      </c>
      <c r="N258" s="23" t="s">
        <v>174</v>
      </c>
      <c r="O258" s="15" t="s">
        <v>490</v>
      </c>
      <c r="P258" s="15" t="s">
        <v>482</v>
      </c>
      <c r="Q258" s="18"/>
      <c r="R258" s="19" t="n">
        <f aca="false">IF(NOT(ISNUMBER(I258)),"",IF(F258="Mindestprognose",I258,IF(ISNUMBER(J258),(I258+J258)/2,I258)))</f>
        <v>0.075</v>
      </c>
      <c r="S258" s="19" t="n">
        <f aca="false">IF(OR(R258="",NOT(ISNUMBER(L258))),"",R258-L258)</f>
        <v>-0.035</v>
      </c>
      <c r="T258" s="19" t="str">
        <f aca="false">IF(OR(S258="",G258&lt;&gt;"absolut",NOT(ISNUMBER(L258)),L258=0),"",S258/ABS(L258))</f>
        <v/>
      </c>
      <c r="U258" s="19" t="str">
        <f aca="false">IF(T258="","",ABS(T258))</f>
        <v/>
      </c>
      <c r="V258" s="20" t="n">
        <f aca="false">IF(OR(F258="Punkt",NOT(ISNUMBER(L258))),"",IF(F258="Mindestprognose",IF(L258&gt;=I258,1,0),IF(AND(ISNUMBER(I258),ISNUMBER(J258),I258&lt;&gt;J258),IF(AND(L258&gt;=I258,L258&lt;=J258),1,0),"")))</f>
        <v>0</v>
      </c>
      <c r="W258" s="18"/>
      <c r="X258" s="0" t="str">
        <f aca="false">IF(OR(F258="qualitativ",F258="fehlend",NOT(ISNUMBER(L258))),"nicht auswertbar",IF(F258="Punkt","Punktprognose",IF(AND(ISNUMBER(I258),ISNUMBER(J258),I258&lt;&gt;J258),IF(L258&lt;I258,"unterhalb",IF(L258&gt;J258,"oberhalb","innerhalb")),"nicht auswertbar")))</f>
        <v>oberhalb</v>
      </c>
      <c r="Y258" s="19" t="n">
        <f aca="false">IF(AND(ISNUMBER(S258),OR(G258="Marge %",G258="Wachstumsrate %")),ABS(S258),"")</f>
        <v>0.035</v>
      </c>
      <c r="Z258" s="0" t="str">
        <f aca="false">IFERROR(VLOOKUP(A258,Unternehmen!$A:$D,4,FALSE()),"")</f>
        <v>Industrie</v>
      </c>
    </row>
    <row r="259" customFormat="false" ht="15" hidden="false" customHeight="true" outlineLevel="0" collapsed="false">
      <c r="A259" s="15" t="s">
        <v>114</v>
      </c>
      <c r="B259" s="15" t="n">
        <v>2023</v>
      </c>
      <c r="C259" s="15" t="s">
        <v>158</v>
      </c>
      <c r="D259" s="15" t="s">
        <v>481</v>
      </c>
      <c r="E259" s="15" t="s">
        <v>488</v>
      </c>
      <c r="F259" s="15" t="s">
        <v>153</v>
      </c>
      <c r="G259" s="15" t="s">
        <v>177</v>
      </c>
      <c r="H259" s="15" t="s">
        <v>484</v>
      </c>
      <c r="I259" s="17" t="n">
        <v>8.7</v>
      </c>
      <c r="J259" s="17" t="n">
        <v>9.2</v>
      </c>
      <c r="K259" s="17" t="n">
        <f aca="false">L257</f>
        <v>5.47</v>
      </c>
      <c r="L259" s="17" t="n">
        <v>9.93</v>
      </c>
      <c r="M259" s="17" t="n">
        <f aca="false">L259-K259</f>
        <v>4.46</v>
      </c>
      <c r="N259" s="23" t="s">
        <v>174</v>
      </c>
      <c r="O259" s="15" t="s">
        <v>490</v>
      </c>
      <c r="P259" s="15" t="s">
        <v>482</v>
      </c>
      <c r="Q259" s="18" t="s">
        <v>491</v>
      </c>
      <c r="R259" s="25" t="n">
        <f aca="false">IF(NOT(ISNUMBER(I259)),"",IF(F259="Mindestprognose",I259,IF(ISNUMBER(J259),(I259+J259)/2,I259)))</f>
        <v>8.95</v>
      </c>
      <c r="S259" s="25" t="n">
        <f aca="false">IF(OR(R259="",NOT(ISNUMBER(L259))),"",R259-L259)</f>
        <v>-0.98</v>
      </c>
      <c r="T259" s="19" t="n">
        <f aca="false">IF(OR(S259="",G259&lt;&gt;"absolut",NOT(ISNUMBER(L259)),L259=0),"",S259/ABS(L259))</f>
        <v>-0.0986908358509567</v>
      </c>
      <c r="U259" s="19" t="n">
        <f aca="false">IF(T259="","",ABS(T259))</f>
        <v>0.0986908358509567</v>
      </c>
      <c r="V259" s="20" t="n">
        <f aca="false">IF(OR(F259="Punkt",NOT(ISNUMBER(L259))),"",IF(F259="Mindestprognose",IF(L259&gt;=I259,1,0),IF(AND(ISNUMBER(I259),ISNUMBER(J259),I259&lt;&gt;J259),IF(AND(L259&gt;=I259,L259&lt;=J259),1,0),"")))</f>
        <v>0</v>
      </c>
      <c r="W259" s="18"/>
      <c r="X259" s="0" t="str">
        <f aca="false">IF(OR(F259="qualitativ",F259="fehlend",NOT(ISNUMBER(L259))),"nicht auswertbar",IF(F259="Punkt","Punktprognose",IF(AND(ISNUMBER(I259),ISNUMBER(J259),I259&lt;&gt;J259),IF(L259&lt;I259,"unterhalb",IF(L259&gt;J259,"oberhalb","innerhalb")),"nicht auswertbar")))</f>
        <v>oberhalb</v>
      </c>
      <c r="Y259" s="25" t="str">
        <f aca="false">IF(AND(ISNUMBER(S259),OR(G259="Marge %",G259="Wachstumsrate %")),ABS(S259),"")</f>
        <v/>
      </c>
      <c r="Z259" s="0" t="str">
        <f aca="false">IFERROR(VLOOKUP(A259,Unternehmen!$A:$D,4,FALSE()),"")</f>
        <v>Industrie</v>
      </c>
    </row>
    <row r="260" customFormat="false" ht="15" hidden="false" customHeight="true" outlineLevel="0" collapsed="false">
      <c r="A260" s="15" t="s">
        <v>114</v>
      </c>
      <c r="B260" s="15" t="n">
        <v>2024</v>
      </c>
      <c r="C260" s="15" t="s">
        <v>15</v>
      </c>
      <c r="D260" s="15" t="s">
        <v>490</v>
      </c>
      <c r="E260" s="15" t="s">
        <v>492</v>
      </c>
      <c r="F260" s="15" t="s">
        <v>153</v>
      </c>
      <c r="G260" s="15" t="s">
        <v>154</v>
      </c>
      <c r="H260" s="15" t="s">
        <v>155</v>
      </c>
      <c r="I260" s="16" t="n">
        <v>0.04</v>
      </c>
      <c r="J260" s="16" t="n">
        <v>0.08</v>
      </c>
      <c r="K260" s="16" t="n">
        <f aca="false">L258</f>
        <v>0.11</v>
      </c>
      <c r="L260" s="16" t="n">
        <v>0.03</v>
      </c>
      <c r="M260" s="16" t="s">
        <v>493</v>
      </c>
      <c r="N260" s="15" t="s">
        <v>494</v>
      </c>
      <c r="O260" s="15" t="s">
        <v>495</v>
      </c>
      <c r="P260" s="15" t="s">
        <v>496</v>
      </c>
      <c r="Q260" s="18"/>
      <c r="R260" s="19" t="n">
        <f aca="false">IF(NOT(ISNUMBER(I260)),"",IF(F260="Mindestprognose",I260,IF(ISNUMBER(J260),(I260+J260)/2,I260)))</f>
        <v>0.06</v>
      </c>
      <c r="S260" s="19" t="n">
        <f aca="false">IF(OR(R260="",NOT(ISNUMBER(L260))),"",R260-L260)</f>
        <v>0.03</v>
      </c>
      <c r="T260" s="19" t="str">
        <f aca="false">IF(OR(S260="",G260&lt;&gt;"absolut",NOT(ISNUMBER(L260)),L260=0),"",S260/ABS(L260))</f>
        <v/>
      </c>
      <c r="U260" s="19" t="str">
        <f aca="false">IF(T260="","",ABS(T260))</f>
        <v/>
      </c>
      <c r="V260" s="20" t="n">
        <f aca="false">IF(OR(F260="Punkt",NOT(ISNUMBER(L260))),"",IF(F260="Mindestprognose",IF(L260&gt;=I260,1,0),IF(AND(ISNUMBER(I260),ISNUMBER(J260),I260&lt;&gt;J260),IF(AND(L260&gt;=I260,L260&lt;=J260),1,0),"")))</f>
        <v>0</v>
      </c>
      <c r="W260" s="18"/>
      <c r="X260" s="0" t="str">
        <f aca="false">IF(OR(F260="qualitativ",F260="fehlend",NOT(ISNUMBER(L260))),"nicht auswertbar",IF(F260="Punkt","Punktprognose",IF(AND(ISNUMBER(I260),ISNUMBER(J260),I260&lt;&gt;J260),IF(L260&lt;I260,"unterhalb",IF(L260&gt;J260,"oberhalb","innerhalb")),"nicht auswertbar")))</f>
        <v>unterhalb</v>
      </c>
      <c r="Y260" s="19" t="n">
        <f aca="false">IF(AND(ISNUMBER(S260),OR(G260="Marge %",G260="Wachstumsrate %")),ABS(S260),"")</f>
        <v>0.03</v>
      </c>
      <c r="Z260" s="0" t="str">
        <f aca="false">IFERROR(VLOOKUP(A260,Unternehmen!$A:$D,4,FALSE()),"")</f>
        <v>Industrie</v>
      </c>
    </row>
    <row r="261" customFormat="false" ht="15" hidden="false" customHeight="true" outlineLevel="0" collapsed="false">
      <c r="A261" s="15" t="s">
        <v>114</v>
      </c>
      <c r="B261" s="15" t="n">
        <v>2024</v>
      </c>
      <c r="C261" s="15" t="s">
        <v>158</v>
      </c>
      <c r="D261" s="15" t="s">
        <v>490</v>
      </c>
      <c r="E261" s="15" t="s">
        <v>492</v>
      </c>
      <c r="F261" s="15" t="s">
        <v>153</v>
      </c>
      <c r="G261" s="15" t="s">
        <v>177</v>
      </c>
      <c r="H261" s="15" t="s">
        <v>484</v>
      </c>
      <c r="I261" s="17" t="n">
        <v>10.4</v>
      </c>
      <c r="J261" s="17" t="n">
        <v>11</v>
      </c>
      <c r="K261" s="17" t="n">
        <v>10.77</v>
      </c>
      <c r="L261" s="17" t="n">
        <v>10.54</v>
      </c>
      <c r="M261" s="17" t="n">
        <f aca="false">L261-K261</f>
        <v>-0.23</v>
      </c>
      <c r="N261" s="22" t="s">
        <v>164</v>
      </c>
      <c r="O261" s="15" t="s">
        <v>495</v>
      </c>
      <c r="P261" s="15" t="s">
        <v>496</v>
      </c>
      <c r="Q261" s="18" t="s">
        <v>497</v>
      </c>
      <c r="R261" s="25" t="n">
        <f aca="false">IF(NOT(ISNUMBER(I261)),"",IF(F261="Mindestprognose",I261,IF(ISNUMBER(J261),(I261+J261)/2,I261)))</f>
        <v>10.7</v>
      </c>
      <c r="S261" s="25" t="n">
        <f aca="false">IF(OR(R261="",NOT(ISNUMBER(L261))),"",R261-L261)</f>
        <v>0.16</v>
      </c>
      <c r="T261" s="19" t="n">
        <f aca="false">IF(OR(S261="",G261&lt;&gt;"absolut",NOT(ISNUMBER(L261)),L261=0),"",S261/ABS(L261))</f>
        <v>0.015180265654649</v>
      </c>
      <c r="U261" s="19" t="n">
        <f aca="false">IF(T261="","",ABS(T261))</f>
        <v>0.015180265654649</v>
      </c>
      <c r="V261" s="20" t="n">
        <f aca="false">IF(OR(F261="Punkt",NOT(ISNUMBER(L261))),"",IF(F261="Mindestprognose",IF(L261&gt;=I261,1,0),IF(AND(ISNUMBER(I261),ISNUMBER(J261),I261&lt;&gt;J261),IF(AND(L261&gt;=I261,L261&lt;=J261),1,0),"")))</f>
        <v>1</v>
      </c>
      <c r="W261" s="18"/>
      <c r="X261" s="0" t="str">
        <f aca="false">IF(OR(F261="qualitativ",F261="fehlend",NOT(ISNUMBER(L261))),"nicht auswertbar",IF(F261="Punkt","Punktprognose",IF(AND(ISNUMBER(I261),ISNUMBER(J261),I261&lt;&gt;J261),IF(L261&lt;I261,"unterhalb",IF(L261&gt;J261,"oberhalb","innerhalb")),"nicht auswertbar")))</f>
        <v>innerhalb</v>
      </c>
      <c r="Y261" s="25" t="str">
        <f aca="false">IF(AND(ISNUMBER(S261),OR(G261="Marge %",G261="Wachstumsrate %")),ABS(S261),"")</f>
        <v/>
      </c>
      <c r="Z261" s="0" t="str">
        <f aca="false">IFERROR(VLOOKUP(A261,Unternehmen!$A:$D,4,FALSE()),"")</f>
        <v>Industrie</v>
      </c>
    </row>
    <row r="262" customFormat="false" ht="15" hidden="false" customHeight="true" outlineLevel="0" collapsed="false">
      <c r="A262" s="15" t="s">
        <v>118</v>
      </c>
      <c r="B262" s="15" t="n">
        <v>2020</v>
      </c>
      <c r="C262" s="15" t="s">
        <v>15</v>
      </c>
      <c r="D262" s="15" t="s">
        <v>498</v>
      </c>
      <c r="E262" s="15" t="n">
        <v>163</v>
      </c>
      <c r="F262" s="15" t="s">
        <v>235</v>
      </c>
      <c r="G262" s="15" t="s">
        <v>177</v>
      </c>
      <c r="H262" s="15" t="s">
        <v>178</v>
      </c>
      <c r="I262" s="24"/>
      <c r="J262" s="24"/>
      <c r="K262" s="17" t="n">
        <v>252632</v>
      </c>
      <c r="L262" s="17" t="n">
        <v>222884</v>
      </c>
      <c r="M262" s="17" t="n">
        <f aca="false">L262-K262</f>
        <v>-29748</v>
      </c>
      <c r="N262" s="15" t="s">
        <v>351</v>
      </c>
      <c r="O262" s="15" t="s">
        <v>499</v>
      </c>
      <c r="P262" s="15" t="n">
        <v>207</v>
      </c>
      <c r="Q262" s="18"/>
      <c r="R262" s="25" t="str">
        <f aca="false">IF(NOT(ISNUMBER(I262)),"",IF(F262="Mindestprognose",I262,IF(ISNUMBER(J262),(I262+J262)/2,I262)))</f>
        <v/>
      </c>
      <c r="S262" s="25" t="str">
        <f aca="false">IF(OR(R262="",NOT(ISNUMBER(L262))),"",R262-L262)</f>
        <v/>
      </c>
      <c r="T262" s="19" t="str">
        <f aca="false">IF(OR(S262="",G262&lt;&gt;"absolut",NOT(ISNUMBER(L262)),L262=0),"",S262/ABS(L262))</f>
        <v/>
      </c>
      <c r="U262" s="19" t="str">
        <f aca="false">IF(T262="","",ABS(T262))</f>
        <v/>
      </c>
      <c r="V262" s="20" t="str">
        <f aca="false">IF(OR(F262="Punkt",NOT(ISNUMBER(L262))),"",IF(F262="Mindestprognose",IF(L262&gt;=I262,1,0),IF(AND(ISNUMBER(I262),ISNUMBER(J262),I262&lt;&gt;J262),IF(AND(L262&gt;=I262,L262&lt;=J262),1,0),"")))</f>
        <v/>
      </c>
      <c r="W262" s="18" t="s">
        <v>500</v>
      </c>
      <c r="X262" s="0" t="str">
        <f aca="false">IF(OR(F262="qualitativ",F262="fehlend",NOT(ISNUMBER(L262))),"nicht auswertbar",IF(F262="Punkt","Punktprognose",IF(AND(ISNUMBER(I262),ISNUMBER(J262),I262&lt;&gt;J262),IF(L262&lt;I262,"unterhalb",IF(L262&gt;J262,"oberhalb","innerhalb")),"nicht auswertbar")))</f>
        <v>nicht auswertbar</v>
      </c>
      <c r="Y262" s="25" t="str">
        <f aca="false">IF(AND(ISNUMBER(S262),OR(G262="Marge %",G262="Wachstumsrate %")),ABS(S262),"")</f>
        <v/>
      </c>
      <c r="Z262" s="0" t="str">
        <f aca="false">IFERROR(VLOOKUP(A262,Unternehmen!$A:$D,4,FALSE()),"")</f>
        <v>Automobile</v>
      </c>
    </row>
    <row r="263" customFormat="false" ht="15" hidden="false" customHeight="true" outlineLevel="0" collapsed="false">
      <c r="A263" s="15" t="s">
        <v>118</v>
      </c>
      <c r="B263" s="15" t="n">
        <v>2020</v>
      </c>
      <c r="C263" s="15" t="s">
        <v>158</v>
      </c>
      <c r="D263" s="15" t="s">
        <v>498</v>
      </c>
      <c r="E263" s="15" t="n">
        <v>163</v>
      </c>
      <c r="F263" s="15" t="s">
        <v>153</v>
      </c>
      <c r="G263" s="15" t="s">
        <v>159</v>
      </c>
      <c r="H263" s="15" t="s">
        <v>160</v>
      </c>
      <c r="I263" s="16" t="n">
        <v>0.065</v>
      </c>
      <c r="J263" s="16" t="n">
        <v>0.075</v>
      </c>
      <c r="K263" s="16" t="n">
        <v>0.067</v>
      </c>
      <c r="L263" s="16" t="n">
        <v>0.043</v>
      </c>
      <c r="M263" s="16" t="s">
        <v>217</v>
      </c>
      <c r="N263" s="21" t="s">
        <v>229</v>
      </c>
      <c r="O263" s="15" t="s">
        <v>499</v>
      </c>
      <c r="P263" s="15" t="n">
        <v>365</v>
      </c>
      <c r="Q263" s="18"/>
      <c r="R263" s="19" t="n">
        <f aca="false">IF(NOT(ISNUMBER(I263)),"",IF(F263="Mindestprognose",I263,IF(ISNUMBER(J263),(I263+J263)/2,I263)))</f>
        <v>0.07</v>
      </c>
      <c r="S263" s="19" t="n">
        <f aca="false">IF(OR(R263="",NOT(ISNUMBER(L263))),"",R263-L263)</f>
        <v>0.027</v>
      </c>
      <c r="T263" s="19" t="str">
        <f aca="false">IF(OR(S263="",G263&lt;&gt;"absolut",NOT(ISNUMBER(L263)),L263=0),"",S263/ABS(L263))</f>
        <v/>
      </c>
      <c r="U263" s="19" t="str">
        <f aca="false">IF(T263="","",ABS(T263))</f>
        <v/>
      </c>
      <c r="V263" s="20" t="n">
        <f aca="false">IF(OR(F263="Punkt",NOT(ISNUMBER(L263))),"",IF(F263="Mindestprognose",IF(L263&gt;=I263,1,0),IF(AND(ISNUMBER(I263),ISNUMBER(J263),I263&lt;&gt;J263),IF(AND(L263&gt;=I263,L263&lt;=J263),1,0),"")))</f>
        <v>0</v>
      </c>
      <c r="W263" s="18"/>
      <c r="X263" s="0" t="str">
        <f aca="false">IF(OR(F263="qualitativ",F263="fehlend",NOT(ISNUMBER(L263))),"nicht auswertbar",IF(F263="Punkt","Punktprognose",IF(AND(ISNUMBER(I263),ISNUMBER(J263),I263&lt;&gt;J263),IF(L263&lt;I263,"unterhalb",IF(L263&gt;J263,"oberhalb","innerhalb")),"nicht auswertbar")))</f>
        <v>unterhalb</v>
      </c>
      <c r="Y263" s="19" t="n">
        <f aca="false">IF(AND(ISNUMBER(S263),OR(G263="Marge %",G263="Wachstumsrate %")),ABS(S263),"")</f>
        <v>0.027</v>
      </c>
      <c r="Z263" s="0" t="str">
        <f aca="false">IFERROR(VLOOKUP(A263,Unternehmen!$A:$D,4,FALSE()),"")</f>
        <v>Automobile</v>
      </c>
    </row>
    <row r="264" customFormat="false" ht="15" hidden="false" customHeight="true" outlineLevel="0" collapsed="false">
      <c r="A264" s="15" t="s">
        <v>118</v>
      </c>
      <c r="B264" s="15" t="n">
        <v>2021</v>
      </c>
      <c r="C264" s="15" t="s">
        <v>15</v>
      </c>
      <c r="D264" s="15" t="s">
        <v>499</v>
      </c>
      <c r="E264" s="15" t="n">
        <v>172</v>
      </c>
      <c r="F264" s="15" t="s">
        <v>187</v>
      </c>
      <c r="G264" s="15" t="s">
        <v>177</v>
      </c>
      <c r="H264" s="15" t="s">
        <v>178</v>
      </c>
      <c r="I264" s="24"/>
      <c r="J264" s="24"/>
      <c r="K264" s="17" t="n">
        <f aca="false">L262</f>
        <v>222884</v>
      </c>
      <c r="L264" s="17" t="n">
        <v>250200</v>
      </c>
      <c r="M264" s="17" t="n">
        <f aca="false">L264-K264</f>
        <v>27316</v>
      </c>
      <c r="N264" s="22" t="s">
        <v>164</v>
      </c>
      <c r="O264" s="15" t="s">
        <v>501</v>
      </c>
      <c r="P264" s="15" t="n">
        <v>219</v>
      </c>
      <c r="Q264" s="18"/>
      <c r="R264" s="25" t="str">
        <f aca="false">IF(NOT(ISNUMBER(I264)),"",IF(F264="Mindestprognose",I264,IF(ISNUMBER(J264),(I264+J264)/2,I264)))</f>
        <v/>
      </c>
      <c r="S264" s="25" t="str">
        <f aca="false">IF(OR(R264="",NOT(ISNUMBER(L264))),"",R264-L264)</f>
        <v/>
      </c>
      <c r="T264" s="19" t="str">
        <f aca="false">IF(OR(S264="",G264&lt;&gt;"absolut",NOT(ISNUMBER(L264)),L264=0),"",S264/ABS(L264))</f>
        <v/>
      </c>
      <c r="U264" s="19" t="str">
        <f aca="false">IF(T264="","",ABS(T264))</f>
        <v/>
      </c>
      <c r="V264" s="20" t="str">
        <f aca="false">IF(OR(F264="Punkt",NOT(ISNUMBER(L264))),"",IF(F264="Mindestprognose",IF(L264&gt;=I264,1,0),IF(AND(ISNUMBER(I264),ISNUMBER(J264),I264&lt;&gt;J264),IF(AND(L264&gt;=I264,L264&lt;=J264),1,0),"")))</f>
        <v/>
      </c>
      <c r="W264" s="18" t="s">
        <v>502</v>
      </c>
      <c r="X264" s="0" t="str">
        <f aca="false">IF(OR(F264="qualitativ",F264="fehlend",NOT(ISNUMBER(L264))),"nicht auswertbar",IF(F264="Punkt","Punktprognose",IF(AND(ISNUMBER(I264),ISNUMBER(J264),I264&lt;&gt;J264),IF(L264&lt;I264,"unterhalb",IF(L264&gt;J264,"oberhalb","innerhalb")),"nicht auswertbar")))</f>
        <v>nicht auswertbar</v>
      </c>
      <c r="Y264" s="25" t="str">
        <f aca="false">IF(AND(ISNUMBER(S264),OR(G264="Marge %",G264="Wachstumsrate %")),ABS(S264),"")</f>
        <v/>
      </c>
      <c r="Z264" s="0" t="str">
        <f aca="false">IFERROR(VLOOKUP(A264,Unternehmen!$A:$D,4,FALSE()),"")</f>
        <v>Automobile</v>
      </c>
    </row>
    <row r="265" customFormat="false" ht="15" hidden="false" customHeight="true" outlineLevel="0" collapsed="false">
      <c r="A265" s="15" t="s">
        <v>118</v>
      </c>
      <c r="B265" s="15" t="n">
        <v>2021</v>
      </c>
      <c r="C265" s="15" t="s">
        <v>158</v>
      </c>
      <c r="D265" s="15" t="s">
        <v>499</v>
      </c>
      <c r="E265" s="15" t="n">
        <v>172</v>
      </c>
      <c r="F265" s="15" t="s">
        <v>153</v>
      </c>
      <c r="G265" s="15" t="s">
        <v>159</v>
      </c>
      <c r="H265" s="15" t="s">
        <v>160</v>
      </c>
      <c r="I265" s="16" t="n">
        <v>0.05</v>
      </c>
      <c r="J265" s="16" t="n">
        <v>0.065</v>
      </c>
      <c r="K265" s="16" t="n">
        <f aca="false">L263</f>
        <v>0.043</v>
      </c>
      <c r="L265" s="16" t="n">
        <v>0.077</v>
      </c>
      <c r="M265" s="16" t="s">
        <v>503</v>
      </c>
      <c r="N265" s="23" t="s">
        <v>174</v>
      </c>
      <c r="O265" s="15" t="s">
        <v>501</v>
      </c>
      <c r="P265" s="15" t="n">
        <v>392</v>
      </c>
      <c r="Q265" s="18"/>
      <c r="R265" s="19" t="n">
        <f aca="false">IF(NOT(ISNUMBER(I265)),"",IF(F265="Mindestprognose",I265,IF(ISNUMBER(J265),(I265+J265)/2,I265)))</f>
        <v>0.0575</v>
      </c>
      <c r="S265" s="19" t="n">
        <f aca="false">IF(OR(R265="",NOT(ISNUMBER(L265))),"",R265-L265)</f>
        <v>-0.0195</v>
      </c>
      <c r="T265" s="19" t="str">
        <f aca="false">IF(OR(S265="",G265&lt;&gt;"absolut",NOT(ISNUMBER(L265)),L265=0),"",S265/ABS(L265))</f>
        <v/>
      </c>
      <c r="U265" s="19" t="str">
        <f aca="false">IF(T265="","",ABS(T265))</f>
        <v/>
      </c>
      <c r="V265" s="20" t="n">
        <f aca="false">IF(OR(F265="Punkt",NOT(ISNUMBER(L265))),"",IF(F265="Mindestprognose",IF(L265&gt;=I265,1,0),IF(AND(ISNUMBER(I265),ISNUMBER(J265),I265&lt;&gt;J265),IF(AND(L265&gt;=I265,L265&lt;=J265),1,0),"")))</f>
        <v>0</v>
      </c>
      <c r="W265" s="18"/>
      <c r="X265" s="0" t="str">
        <f aca="false">IF(OR(F265="qualitativ",F265="fehlend",NOT(ISNUMBER(L265))),"nicht auswertbar",IF(F265="Punkt","Punktprognose",IF(AND(ISNUMBER(I265),ISNUMBER(J265),I265&lt;&gt;J265),IF(L265&lt;I265,"unterhalb",IF(L265&gt;J265,"oberhalb","innerhalb")),"nicht auswertbar")))</f>
        <v>oberhalb</v>
      </c>
      <c r="Y265" s="19" t="n">
        <f aca="false">IF(AND(ISNUMBER(S265),OR(G265="Marge %",G265="Wachstumsrate %")),ABS(S265),"")</f>
        <v>0.0195</v>
      </c>
      <c r="Z265" s="0" t="str">
        <f aca="false">IFERROR(VLOOKUP(A265,Unternehmen!$A:$D,4,FALSE()),"")</f>
        <v>Automobile</v>
      </c>
    </row>
    <row r="266" customFormat="false" ht="15" hidden="false" customHeight="true" outlineLevel="0" collapsed="false">
      <c r="A266" s="15" t="s">
        <v>118</v>
      </c>
      <c r="B266" s="15" t="n">
        <v>2022</v>
      </c>
      <c r="C266" s="15" t="s">
        <v>15</v>
      </c>
      <c r="D266" s="15" t="s">
        <v>501</v>
      </c>
      <c r="E266" s="15" t="n">
        <v>183</v>
      </c>
      <c r="F266" s="15" t="s">
        <v>235</v>
      </c>
      <c r="G266" s="15" t="s">
        <v>177</v>
      </c>
      <c r="H266" s="15" t="s">
        <v>178</v>
      </c>
      <c r="I266" s="24"/>
      <c r="J266" s="24"/>
      <c r="K266" s="17" t="n">
        <f aca="false">L264</f>
        <v>250200</v>
      </c>
      <c r="L266" s="17" t="n">
        <v>279232</v>
      </c>
      <c r="M266" s="17" t="n">
        <f aca="false">L266-K266</f>
        <v>29032</v>
      </c>
      <c r="N266" s="22" t="s">
        <v>164</v>
      </c>
      <c r="O266" s="15" t="s">
        <v>504</v>
      </c>
      <c r="P266" s="15" t="n">
        <v>277</v>
      </c>
      <c r="Q266" s="18"/>
      <c r="R266" s="25" t="str">
        <f aca="false">IF(NOT(ISNUMBER(I266)),"",IF(F266="Mindestprognose",I266,IF(ISNUMBER(J266),(I266+J266)/2,I266)))</f>
        <v/>
      </c>
      <c r="S266" s="25" t="str">
        <f aca="false">IF(OR(R266="",NOT(ISNUMBER(L266))),"",R266-L266)</f>
        <v/>
      </c>
      <c r="T266" s="19" t="str">
        <f aca="false">IF(OR(S266="",G266&lt;&gt;"absolut",NOT(ISNUMBER(L266)),L266=0),"",S266/ABS(L266))</f>
        <v/>
      </c>
      <c r="U266" s="19" t="str">
        <f aca="false">IF(T266="","",ABS(T266))</f>
        <v/>
      </c>
      <c r="V266" s="20" t="str">
        <f aca="false">IF(OR(F266="Punkt",NOT(ISNUMBER(L266))),"",IF(F266="Mindestprognose",IF(L266&gt;=I266,1,0),IF(AND(ISNUMBER(I266),ISNUMBER(J266),I266&lt;&gt;J266),IF(AND(L266&gt;=I266,L266&lt;=J266),1,0),"")))</f>
        <v/>
      </c>
      <c r="W266" s="18" t="s">
        <v>505</v>
      </c>
      <c r="X266" s="0" t="str">
        <f aca="false">IF(OR(F266="qualitativ",F266="fehlend",NOT(ISNUMBER(L266))),"nicht auswertbar",IF(F266="Punkt","Punktprognose",IF(AND(ISNUMBER(I266),ISNUMBER(J266),I266&lt;&gt;J266),IF(L266&lt;I266,"unterhalb",IF(L266&gt;J266,"oberhalb","innerhalb")),"nicht auswertbar")))</f>
        <v>nicht auswertbar</v>
      </c>
      <c r="Y266" s="25" t="str">
        <f aca="false">IF(AND(ISNUMBER(S266),OR(G266="Marge %",G266="Wachstumsrate %")),ABS(S266),"")</f>
        <v/>
      </c>
      <c r="Z266" s="0" t="str">
        <f aca="false">IFERROR(VLOOKUP(A266,Unternehmen!$A:$D,4,FALSE()),"")</f>
        <v>Automobile</v>
      </c>
    </row>
    <row r="267" customFormat="false" ht="15" hidden="false" customHeight="true" outlineLevel="0" collapsed="false">
      <c r="A267" s="15" t="s">
        <v>118</v>
      </c>
      <c r="B267" s="15" t="n">
        <v>2022</v>
      </c>
      <c r="C267" s="15" t="s">
        <v>158</v>
      </c>
      <c r="D267" s="15" t="s">
        <v>501</v>
      </c>
      <c r="E267" s="15" t="n">
        <v>183</v>
      </c>
      <c r="F267" s="15" t="s">
        <v>153</v>
      </c>
      <c r="G267" s="15" t="s">
        <v>159</v>
      </c>
      <c r="H267" s="15" t="s">
        <v>160</v>
      </c>
      <c r="I267" s="16" t="n">
        <v>0.07</v>
      </c>
      <c r="J267" s="16" t="n">
        <v>0.085</v>
      </c>
      <c r="K267" s="16" t="n">
        <f aca="false">L265</f>
        <v>0.077</v>
      </c>
      <c r="L267" s="16" t="n">
        <v>0.079</v>
      </c>
      <c r="M267" s="16" t="s">
        <v>238</v>
      </c>
      <c r="N267" s="22" t="s">
        <v>164</v>
      </c>
      <c r="O267" s="15" t="s">
        <v>504</v>
      </c>
      <c r="P267" s="15" t="n">
        <v>486</v>
      </c>
      <c r="Q267" s="18"/>
      <c r="R267" s="19" t="n">
        <f aca="false">IF(NOT(ISNUMBER(I267)),"",IF(F267="Mindestprognose",I267,IF(ISNUMBER(J267),(I267+J267)/2,I267)))</f>
        <v>0.0775</v>
      </c>
      <c r="S267" s="19" t="n">
        <f aca="false">IF(OR(R267="",NOT(ISNUMBER(L267))),"",R267-L267)</f>
        <v>-0.00149999999999999</v>
      </c>
      <c r="T267" s="19" t="str">
        <f aca="false">IF(OR(S267="",G267&lt;&gt;"absolut",NOT(ISNUMBER(L267)),L267=0),"",S267/ABS(L267))</f>
        <v/>
      </c>
      <c r="U267" s="19" t="str">
        <f aca="false">IF(T267="","",ABS(T267))</f>
        <v/>
      </c>
      <c r="V267" s="20" t="n">
        <f aca="false">IF(OR(F267="Punkt",NOT(ISNUMBER(L267))),"",IF(F267="Mindestprognose",IF(L267&gt;=I267,1,0),IF(AND(ISNUMBER(I267),ISNUMBER(J267),I267&lt;&gt;J267),IF(AND(L267&gt;=I267,L267&lt;=J267),1,0),"")))</f>
        <v>1</v>
      </c>
      <c r="W267" s="18"/>
      <c r="X267" s="0" t="str">
        <f aca="false">IF(OR(F267="qualitativ",F267="fehlend",NOT(ISNUMBER(L267))),"nicht auswertbar",IF(F267="Punkt","Punktprognose",IF(AND(ISNUMBER(I267),ISNUMBER(J267),I267&lt;&gt;J267),IF(L267&lt;I267,"unterhalb",IF(L267&gt;J267,"oberhalb","innerhalb")),"nicht auswertbar")))</f>
        <v>innerhalb</v>
      </c>
      <c r="Y267" s="19" t="n">
        <f aca="false">IF(AND(ISNUMBER(S267),OR(G267="Marge %",G267="Wachstumsrate %")),ABS(S267),"")</f>
        <v>0.00149999999999999</v>
      </c>
      <c r="Z267" s="0" t="str">
        <f aca="false">IFERROR(VLOOKUP(A267,Unternehmen!$A:$D,4,FALSE()),"")</f>
        <v>Automobile</v>
      </c>
    </row>
    <row r="268" customFormat="false" ht="15" hidden="false" customHeight="true" outlineLevel="0" collapsed="false">
      <c r="A268" s="15" t="s">
        <v>118</v>
      </c>
      <c r="B268" s="15" t="n">
        <v>2023</v>
      </c>
      <c r="C268" s="15" t="s">
        <v>15</v>
      </c>
      <c r="D268" s="15" t="s">
        <v>504</v>
      </c>
      <c r="E268" s="15" t="n">
        <v>231</v>
      </c>
      <c r="F268" s="15" t="s">
        <v>235</v>
      </c>
      <c r="G268" s="15" t="s">
        <v>177</v>
      </c>
      <c r="H268" s="15" t="s">
        <v>178</v>
      </c>
      <c r="I268" s="24"/>
      <c r="J268" s="24"/>
      <c r="K268" s="17" t="n">
        <v>279050</v>
      </c>
      <c r="L268" s="17" t="n">
        <v>322284</v>
      </c>
      <c r="M268" s="17" t="n">
        <f aca="false">L268-K268</f>
        <v>43234</v>
      </c>
      <c r="N268" s="23" t="s">
        <v>174</v>
      </c>
      <c r="O268" s="15" t="s">
        <v>506</v>
      </c>
      <c r="P268" s="15" t="n">
        <v>267</v>
      </c>
      <c r="Q268" s="18" t="s">
        <v>507</v>
      </c>
      <c r="R268" s="25" t="str">
        <f aca="false">IF(NOT(ISNUMBER(I268)),"",IF(F268="Mindestprognose",I268,IF(ISNUMBER(J268),(I268+J268)/2,I268)))</f>
        <v/>
      </c>
      <c r="S268" s="25" t="str">
        <f aca="false">IF(OR(R268="",NOT(ISNUMBER(L268))),"",R268-L268)</f>
        <v/>
      </c>
      <c r="T268" s="19" t="str">
        <f aca="false">IF(OR(S268="",G268&lt;&gt;"absolut",NOT(ISNUMBER(L268)),L268=0),"",S268/ABS(L268))</f>
        <v/>
      </c>
      <c r="U268" s="19" t="str">
        <f aca="false">IF(T268="","",ABS(T268))</f>
        <v/>
      </c>
      <c r="V268" s="20" t="str">
        <f aca="false">IF(OR(F268="Punkt",NOT(ISNUMBER(L268))),"",IF(F268="Mindestprognose",IF(L268&gt;=I268,1,0),IF(AND(ISNUMBER(I268),ISNUMBER(J268),I268&lt;&gt;J268),IF(AND(L268&gt;=I268,L268&lt;=J268),1,0),"")))</f>
        <v/>
      </c>
      <c r="W268" s="18" t="s">
        <v>508</v>
      </c>
      <c r="X268" s="0" t="str">
        <f aca="false">IF(OR(F268="qualitativ",F268="fehlend",NOT(ISNUMBER(L268))),"nicht auswertbar",IF(F268="Punkt","Punktprognose",IF(AND(ISNUMBER(I268),ISNUMBER(J268),I268&lt;&gt;J268),IF(L268&lt;I268,"unterhalb",IF(L268&gt;J268,"oberhalb","innerhalb")),"nicht auswertbar")))</f>
        <v>nicht auswertbar</v>
      </c>
      <c r="Y268" s="25" t="str">
        <f aca="false">IF(AND(ISNUMBER(S268),OR(G268="Marge %",G268="Wachstumsrate %")),ABS(S268),"")</f>
        <v/>
      </c>
      <c r="Z268" s="0" t="str">
        <f aca="false">IFERROR(VLOOKUP(A268,Unternehmen!$A:$D,4,FALSE()),"")</f>
        <v>Automobile</v>
      </c>
    </row>
    <row r="269" customFormat="false" ht="15" hidden="false" customHeight="true" outlineLevel="0" collapsed="false">
      <c r="A269" s="15" t="s">
        <v>118</v>
      </c>
      <c r="B269" s="15" t="n">
        <v>2023</v>
      </c>
      <c r="C269" s="15" t="s">
        <v>158</v>
      </c>
      <c r="D269" s="15" t="s">
        <v>504</v>
      </c>
      <c r="E269" s="15" t="n">
        <v>231</v>
      </c>
      <c r="F269" s="15" t="s">
        <v>153</v>
      </c>
      <c r="G269" s="15" t="s">
        <v>159</v>
      </c>
      <c r="H269" s="15" t="s">
        <v>160</v>
      </c>
      <c r="I269" s="16" t="n">
        <v>0.075</v>
      </c>
      <c r="J269" s="16" t="n">
        <v>0.085</v>
      </c>
      <c r="K269" s="16" t="n">
        <f aca="false">L267</f>
        <v>0.079</v>
      </c>
      <c r="L269" s="16" t="n">
        <v>0.07</v>
      </c>
      <c r="M269" s="16" t="s">
        <v>509</v>
      </c>
      <c r="N269" s="15" t="s">
        <v>510</v>
      </c>
      <c r="O269" s="15" t="s">
        <v>506</v>
      </c>
      <c r="P269" s="15" t="n">
        <v>461</v>
      </c>
      <c r="Q269" s="18"/>
      <c r="R269" s="19" t="n">
        <f aca="false">IF(NOT(ISNUMBER(I269)),"",IF(F269="Mindestprognose",I269,IF(ISNUMBER(J269),(I269+J269)/2,I269)))</f>
        <v>0.08</v>
      </c>
      <c r="S269" s="19" t="n">
        <f aca="false">IF(OR(R269="",NOT(ISNUMBER(L269))),"",R269-L269)</f>
        <v>0.01</v>
      </c>
      <c r="T269" s="19" t="str">
        <f aca="false">IF(OR(S269="",G269&lt;&gt;"absolut",NOT(ISNUMBER(L269)),L269=0),"",S269/ABS(L269))</f>
        <v/>
      </c>
      <c r="U269" s="19" t="str">
        <f aca="false">IF(T269="","",ABS(T269))</f>
        <v/>
      </c>
      <c r="V269" s="20" t="n">
        <f aca="false">IF(OR(F269="Punkt",NOT(ISNUMBER(L269))),"",IF(F269="Mindestprognose",IF(L269&gt;=I269,1,0),IF(AND(ISNUMBER(I269),ISNUMBER(J269),I269&lt;&gt;J269),IF(AND(L269&gt;=I269,L269&lt;=J269),1,0),"")))</f>
        <v>0</v>
      </c>
      <c r="W269" s="18"/>
      <c r="X269" s="0" t="str">
        <f aca="false">IF(OR(F269="qualitativ",F269="fehlend",NOT(ISNUMBER(L269))),"nicht auswertbar",IF(F269="Punkt","Punktprognose",IF(AND(ISNUMBER(I269),ISNUMBER(J269),I269&lt;&gt;J269),IF(L269&lt;I269,"unterhalb",IF(L269&gt;J269,"oberhalb","innerhalb")),"nicht auswertbar")))</f>
        <v>unterhalb</v>
      </c>
      <c r="Y269" s="19" t="n">
        <f aca="false">IF(AND(ISNUMBER(S269),OR(G269="Marge %",G269="Wachstumsrate %")),ABS(S269),"")</f>
        <v>0.01</v>
      </c>
      <c r="Z269" s="0" t="str">
        <f aca="false">IFERROR(VLOOKUP(A269,Unternehmen!$A:$D,4,FALSE()),"")</f>
        <v>Automobile</v>
      </c>
    </row>
    <row r="270" customFormat="false" ht="15" hidden="false" customHeight="true" outlineLevel="0" collapsed="false">
      <c r="A270" s="15" t="s">
        <v>118</v>
      </c>
      <c r="B270" s="15" t="n">
        <v>2024</v>
      </c>
      <c r="C270" s="15" t="s">
        <v>15</v>
      </c>
      <c r="D270" s="15" t="s">
        <v>511</v>
      </c>
      <c r="E270" s="15" t="n">
        <v>221</v>
      </c>
      <c r="F270" s="15" t="s">
        <v>235</v>
      </c>
      <c r="G270" s="15" t="s">
        <v>177</v>
      </c>
      <c r="H270" s="15" t="s">
        <v>178</v>
      </c>
      <c r="I270" s="24"/>
      <c r="J270" s="24"/>
      <c r="K270" s="17" t="n">
        <f aca="false">L268</f>
        <v>322284</v>
      </c>
      <c r="L270" s="17" t="n">
        <v>324656</v>
      </c>
      <c r="M270" s="17" t="n">
        <f aca="false">L270-K270</f>
        <v>2372</v>
      </c>
      <c r="N270" s="22" t="s">
        <v>164</v>
      </c>
      <c r="O270" s="15" t="s">
        <v>512</v>
      </c>
      <c r="P270" s="15" t="n">
        <v>470</v>
      </c>
      <c r="Q270" s="18"/>
      <c r="R270" s="25" t="str">
        <f aca="false">IF(NOT(ISNUMBER(I270)),"",IF(F270="Mindestprognose",I270,IF(ISNUMBER(J270),(I270+J270)/2,I270)))</f>
        <v/>
      </c>
      <c r="S270" s="25" t="str">
        <f aca="false">IF(OR(R270="",NOT(ISNUMBER(L270))),"",R270-L270)</f>
        <v/>
      </c>
      <c r="T270" s="19" t="str">
        <f aca="false">IF(OR(S270="",G270&lt;&gt;"absolut",NOT(ISNUMBER(L270)),L270=0),"",S270/ABS(L270))</f>
        <v/>
      </c>
      <c r="U270" s="19" t="str">
        <f aca="false">IF(T270="","",ABS(T270))</f>
        <v/>
      </c>
      <c r="V270" s="20" t="str">
        <f aca="false">IF(OR(F270="Punkt",NOT(ISNUMBER(L270))),"",IF(F270="Mindestprognose",IF(L270&gt;=I270,1,0),IF(AND(ISNUMBER(I270),ISNUMBER(J270),I270&lt;&gt;J270),IF(AND(L270&gt;=I270,L270&lt;=J270),1,0),"")))</f>
        <v/>
      </c>
      <c r="W270" s="18" t="s">
        <v>513</v>
      </c>
      <c r="X270" s="0" t="str">
        <f aca="false">IF(OR(F270="qualitativ",F270="fehlend",NOT(ISNUMBER(L270))),"nicht auswertbar",IF(F270="Punkt","Punktprognose",IF(AND(ISNUMBER(I270),ISNUMBER(J270),I270&lt;&gt;J270),IF(L270&lt;I270,"unterhalb",IF(L270&gt;J270,"oberhalb","innerhalb")),"nicht auswertbar")))</f>
        <v>nicht auswertbar</v>
      </c>
      <c r="Y270" s="25" t="str">
        <f aca="false">IF(AND(ISNUMBER(S270),OR(G270="Marge %",G270="Wachstumsrate %")),ABS(S270),"")</f>
        <v/>
      </c>
      <c r="Z270" s="0" t="str">
        <f aca="false">IFERROR(VLOOKUP(A270,Unternehmen!$A:$D,4,FALSE()),"")</f>
        <v>Automobile</v>
      </c>
    </row>
    <row r="271" customFormat="false" ht="15" hidden="false" customHeight="true" outlineLevel="0" collapsed="false">
      <c r="A271" s="15" t="s">
        <v>118</v>
      </c>
      <c r="B271" s="15" t="n">
        <v>2024</v>
      </c>
      <c r="C271" s="15" t="s">
        <v>158</v>
      </c>
      <c r="D271" s="15" t="s">
        <v>511</v>
      </c>
      <c r="E271" s="15" t="n">
        <v>221</v>
      </c>
      <c r="F271" s="15" t="s">
        <v>153</v>
      </c>
      <c r="G271" s="15" t="s">
        <v>159</v>
      </c>
      <c r="H271" s="15" t="s">
        <v>160</v>
      </c>
      <c r="I271" s="16" t="n">
        <v>0.07</v>
      </c>
      <c r="J271" s="16" t="n">
        <v>0.075</v>
      </c>
      <c r="K271" s="16" t="n">
        <f aca="false">L269</f>
        <v>0.07</v>
      </c>
      <c r="L271" s="16" t="n">
        <v>0.059</v>
      </c>
      <c r="M271" s="16" t="s">
        <v>386</v>
      </c>
      <c r="N271" s="21" t="s">
        <v>386</v>
      </c>
      <c r="O271" s="15" t="s">
        <v>512</v>
      </c>
      <c r="P271" s="15" t="n">
        <v>671</v>
      </c>
      <c r="Q271" s="18"/>
      <c r="R271" s="19" t="n">
        <f aca="false">IF(NOT(ISNUMBER(I271)),"",IF(F271="Mindestprognose",I271,IF(ISNUMBER(J271),(I271+J271)/2,I271)))</f>
        <v>0.0725</v>
      </c>
      <c r="S271" s="19" t="n">
        <f aca="false">IF(OR(R271="",NOT(ISNUMBER(L271))),"",R271-L271)</f>
        <v>0.0135</v>
      </c>
      <c r="T271" s="19" t="str">
        <f aca="false">IF(OR(S271="",G271&lt;&gt;"absolut",NOT(ISNUMBER(L271)),L271=0),"",S271/ABS(L271))</f>
        <v/>
      </c>
      <c r="U271" s="19" t="str">
        <f aca="false">IF(T271="","",ABS(T271))</f>
        <v/>
      </c>
      <c r="V271" s="20" t="n">
        <f aca="false">IF(OR(F271="Punkt",NOT(ISNUMBER(L271))),"",IF(F271="Mindestprognose",IF(L271&gt;=I271,1,0),IF(AND(ISNUMBER(I271),ISNUMBER(J271),I271&lt;&gt;J271),IF(AND(L271&gt;=I271,L271&lt;=J271),1,0),"")))</f>
        <v>0</v>
      </c>
      <c r="W271" s="18"/>
      <c r="X271" s="0" t="str">
        <f aca="false">IF(OR(F271="qualitativ",F271="fehlend",NOT(ISNUMBER(L271))),"nicht auswertbar",IF(F271="Punkt","Punktprognose",IF(AND(ISNUMBER(I271),ISNUMBER(J271),I271&lt;&gt;J271),IF(L271&lt;I271,"unterhalb",IF(L271&gt;J271,"oberhalb","innerhalb")),"nicht auswertbar")))</f>
        <v>unterhalb</v>
      </c>
      <c r="Y271" s="19" t="n">
        <f aca="false">IF(AND(ISNUMBER(S271),OR(G271="Marge %",G271="Wachstumsrate %")),ABS(S271),"")</f>
        <v>0.0135</v>
      </c>
      <c r="Z271" s="0" t="str">
        <f aca="false">IFERROR(VLOOKUP(A271,Unternehmen!$A:$D,4,FALSE()),"")</f>
        <v>Automobile</v>
      </c>
    </row>
    <row r="272" customFormat="false" ht="15" hidden="false" customHeight="true" outlineLevel="0" collapsed="false">
      <c r="A272" s="15" t="s">
        <v>121</v>
      </c>
      <c r="B272" s="15" t="n">
        <v>2020</v>
      </c>
      <c r="C272" s="15" t="s">
        <v>15</v>
      </c>
      <c r="D272" s="15" t="s">
        <v>514</v>
      </c>
      <c r="E272" s="15" t="n">
        <v>137</v>
      </c>
      <c r="F272" s="15" t="s">
        <v>183</v>
      </c>
      <c r="G272" s="15" t="s">
        <v>177</v>
      </c>
      <c r="H272" s="15" t="s">
        <v>178</v>
      </c>
      <c r="I272" s="17" t="n">
        <v>1275</v>
      </c>
      <c r="J272" s="17" t="n">
        <v>1375</v>
      </c>
      <c r="K272" s="17" t="n">
        <v>1218.6</v>
      </c>
      <c r="L272" s="17" t="n">
        <v>1348.2</v>
      </c>
      <c r="M272" s="17" t="n">
        <f aca="false">L272-K272</f>
        <v>129.6</v>
      </c>
      <c r="N272" s="22" t="s">
        <v>164</v>
      </c>
      <c r="O272" s="15" t="s">
        <v>515</v>
      </c>
      <c r="P272" s="15" t="n">
        <v>139</v>
      </c>
      <c r="Q272" s="18"/>
      <c r="R272" s="25" t="n">
        <f aca="false">IF(NOT(ISNUMBER(I272)),"",IF(F272="Mindestprognose",I272,IF(ISNUMBER(J272),(I272+J272)/2,I272)))</f>
        <v>1325</v>
      </c>
      <c r="S272" s="25" t="n">
        <f aca="false">IF(OR(R272="",NOT(ISNUMBER(L272))),"",R272-L272)</f>
        <v>-23.2</v>
      </c>
      <c r="T272" s="19" t="n">
        <f aca="false">IF(OR(S272="",G272&lt;&gt;"absolut",NOT(ISNUMBER(L272)),L272=0),"",S272/ABS(L272))</f>
        <v>-0.0172081293576621</v>
      </c>
      <c r="U272" s="19" t="n">
        <f aca="false">IF(T272="","",ABS(T272))</f>
        <v>0.0172081293576621</v>
      </c>
      <c r="V272" s="20" t="n">
        <f aca="false">IF(OR(F272="Punkt",NOT(ISNUMBER(L272))),"",IF(F272="Mindestprognose",IF(L272&gt;=I272,1,0),IF(AND(ISNUMBER(I272),ISNUMBER(J272),I272&lt;&gt;J272),IF(AND(L272&gt;=I272,L272&lt;=J272),1,0),"")))</f>
        <v>1</v>
      </c>
      <c r="W272" s="18"/>
      <c r="X272" s="0" t="str">
        <f aca="false">IF(OR(F272="qualitativ",F272="fehlend",NOT(ISNUMBER(L272))),"nicht auswertbar",IF(F272="Punkt","Punktprognose",IF(AND(ISNUMBER(I272),ISNUMBER(J272),I272&lt;&gt;J272),IF(L272&lt;I272,"unterhalb",IF(L272&gt;J272,"oberhalb","innerhalb")),"nicht auswertbar")))</f>
        <v>innerhalb</v>
      </c>
      <c r="Y272" s="25" t="str">
        <f aca="false">IF(AND(ISNUMBER(S272),OR(G272="Marge %",G272="Wachstumsrate %")),ABS(S272),"")</f>
        <v/>
      </c>
      <c r="Z272" s="0" t="str">
        <f aca="false">IFERROR(VLOOKUP(A272,Unternehmen!$A:$D,4,FALSE()),"")</f>
        <v>Immobilien</v>
      </c>
    </row>
    <row r="273" customFormat="false" ht="15" hidden="false" customHeight="true" outlineLevel="0" collapsed="false">
      <c r="A273" s="15" t="s">
        <v>121</v>
      </c>
      <c r="B273" s="15" t="n">
        <v>2020</v>
      </c>
      <c r="C273" s="15" t="s">
        <v>158</v>
      </c>
      <c r="D273" s="15" t="s">
        <v>514</v>
      </c>
      <c r="E273" s="15" t="n">
        <v>137</v>
      </c>
      <c r="F273" s="15" t="s">
        <v>183</v>
      </c>
      <c r="G273" s="15" t="s">
        <v>177</v>
      </c>
      <c r="H273" s="15" t="s">
        <v>178</v>
      </c>
      <c r="I273" s="17" t="n">
        <v>1875</v>
      </c>
      <c r="J273" s="17" t="n">
        <v>1925</v>
      </c>
      <c r="K273" s="17" t="n">
        <v>1760.1</v>
      </c>
      <c r="L273" s="17" t="n">
        <v>1909.8</v>
      </c>
      <c r="M273" s="17" t="n">
        <f aca="false">L273-K273</f>
        <v>149.7</v>
      </c>
      <c r="N273" s="22" t="s">
        <v>164</v>
      </c>
      <c r="O273" s="15" t="s">
        <v>515</v>
      </c>
      <c r="P273" s="15" t="n">
        <v>139</v>
      </c>
      <c r="Q273" s="18"/>
      <c r="R273" s="25" t="n">
        <f aca="false">IF(NOT(ISNUMBER(I273)),"",IF(F273="Mindestprognose",I273,IF(ISNUMBER(J273),(I273+J273)/2,I273)))</f>
        <v>1900</v>
      </c>
      <c r="S273" s="25" t="n">
        <f aca="false">IF(OR(R273="",NOT(ISNUMBER(L273))),"",R273-L273)</f>
        <v>-9.79999999999996</v>
      </c>
      <c r="T273" s="19" t="n">
        <f aca="false">IF(OR(S273="",G273&lt;&gt;"absolut",NOT(ISNUMBER(L273)),L273=0),"",S273/ABS(L273))</f>
        <v>-0.00513142737459417</v>
      </c>
      <c r="U273" s="19" t="n">
        <f aca="false">IF(T273="","",ABS(T273))</f>
        <v>0.00513142737459417</v>
      </c>
      <c r="V273" s="20" t="n">
        <f aca="false">IF(OR(F273="Punkt",NOT(ISNUMBER(L273))),"",IF(F273="Mindestprognose",IF(L273&gt;=I273,1,0),IF(AND(ISNUMBER(I273),ISNUMBER(J273),I273&lt;&gt;J273),IF(AND(L273&gt;=I273,L273&lt;=J273),1,0),"")))</f>
        <v>1</v>
      </c>
      <c r="W273" s="18"/>
      <c r="X273" s="0" t="str">
        <f aca="false">IF(OR(F273="qualitativ",F273="fehlend",NOT(ISNUMBER(L273))),"nicht auswertbar",IF(F273="Punkt","Punktprognose",IF(AND(ISNUMBER(I273),ISNUMBER(J273),I273&lt;&gt;J273),IF(L273&lt;I273,"unterhalb",IF(L273&gt;J273,"oberhalb","innerhalb")),"nicht auswertbar")))</f>
        <v>innerhalb</v>
      </c>
      <c r="Y273" s="25" t="str">
        <f aca="false">IF(AND(ISNUMBER(S273),OR(G273="Marge %",G273="Wachstumsrate %")),ABS(S273),"")</f>
        <v/>
      </c>
      <c r="Z273" s="0" t="str">
        <f aca="false">IFERROR(VLOOKUP(A273,Unternehmen!$A:$D,4,FALSE()),"")</f>
        <v>Immobilien</v>
      </c>
    </row>
    <row r="274" customFormat="false" ht="15" hidden="false" customHeight="true" outlineLevel="0" collapsed="false">
      <c r="A274" s="15" t="s">
        <v>121</v>
      </c>
      <c r="B274" s="15" t="n">
        <v>2021</v>
      </c>
      <c r="C274" s="15" t="s">
        <v>15</v>
      </c>
      <c r="D274" s="15" t="s">
        <v>515</v>
      </c>
      <c r="E274" s="15" t="n">
        <v>139</v>
      </c>
      <c r="F274" s="15" t="s">
        <v>183</v>
      </c>
      <c r="G274" s="15" t="s">
        <v>177</v>
      </c>
      <c r="H274" s="15" t="s">
        <v>178</v>
      </c>
      <c r="I274" s="17" t="n">
        <v>1415</v>
      </c>
      <c r="J274" s="17" t="n">
        <v>1465</v>
      </c>
      <c r="K274" s="17" t="n">
        <f aca="false">L272</f>
        <v>1348.2</v>
      </c>
      <c r="L274" s="17" t="n">
        <v>1534.5</v>
      </c>
      <c r="M274" s="17" t="n">
        <f aca="false">L274-K274</f>
        <v>186.3</v>
      </c>
      <c r="N274" s="23" t="s">
        <v>174</v>
      </c>
      <c r="O274" s="15" t="s">
        <v>516</v>
      </c>
      <c r="P274" s="15" t="n">
        <v>147</v>
      </c>
      <c r="Q274" s="18" t="s">
        <v>517</v>
      </c>
      <c r="R274" s="25" t="n">
        <f aca="false">IF(NOT(ISNUMBER(I274)),"",IF(F274="Mindestprognose",I274,IF(ISNUMBER(J274),(I274+J274)/2,I274)))</f>
        <v>1440</v>
      </c>
      <c r="S274" s="25" t="n">
        <f aca="false">IF(OR(R274="",NOT(ISNUMBER(L274))),"",R274-L274)</f>
        <v>-94.5</v>
      </c>
      <c r="T274" s="19" t="n">
        <f aca="false">IF(OR(S274="",G274&lt;&gt;"absolut",NOT(ISNUMBER(L274)),L274=0),"",S274/ABS(L274))</f>
        <v>-0.06158357771261</v>
      </c>
      <c r="U274" s="19" t="n">
        <f aca="false">IF(T274="","",ABS(T274))</f>
        <v>0.06158357771261</v>
      </c>
      <c r="V274" s="20" t="n">
        <f aca="false">IF(OR(F274="Punkt",NOT(ISNUMBER(L274))),"",IF(F274="Mindestprognose",IF(L274&gt;=I274,1,0),IF(AND(ISNUMBER(I274),ISNUMBER(J274),I274&lt;&gt;J274),IF(AND(L274&gt;=I274,L274&lt;=J274),1,0),"")))</f>
        <v>0</v>
      </c>
      <c r="W274" s="18"/>
      <c r="X274" s="0" t="str">
        <f aca="false">IF(OR(F274="qualitativ",F274="fehlend",NOT(ISNUMBER(L274))),"nicht auswertbar",IF(F274="Punkt","Punktprognose",IF(AND(ISNUMBER(I274),ISNUMBER(J274),I274&lt;&gt;J274),IF(L274&lt;I274,"unterhalb",IF(L274&gt;J274,"oberhalb","innerhalb")),"nicht auswertbar")))</f>
        <v>oberhalb</v>
      </c>
      <c r="Y274" s="25" t="str">
        <f aca="false">IF(AND(ISNUMBER(S274),OR(G274="Marge %",G274="Wachstumsrate %")),ABS(S274),"")</f>
        <v/>
      </c>
      <c r="Z274" s="0" t="str">
        <f aca="false">IFERROR(VLOOKUP(A274,Unternehmen!$A:$D,4,FALSE()),"")</f>
        <v>Immobilien</v>
      </c>
    </row>
    <row r="275" customFormat="false" ht="15" hidden="false" customHeight="true" outlineLevel="0" collapsed="false">
      <c r="A275" s="15" t="s">
        <v>121</v>
      </c>
      <c r="B275" s="15" t="n">
        <v>2021</v>
      </c>
      <c r="C275" s="15" t="s">
        <v>158</v>
      </c>
      <c r="D275" s="15" t="s">
        <v>515</v>
      </c>
      <c r="E275" s="15" t="n">
        <v>139</v>
      </c>
      <c r="F275" s="15" t="s">
        <v>183</v>
      </c>
      <c r="G275" s="15" t="s">
        <v>177</v>
      </c>
      <c r="H275" s="15" t="s">
        <v>178</v>
      </c>
      <c r="I275" s="17" t="n">
        <v>1975</v>
      </c>
      <c r="J275" s="17" t="n">
        <v>2025</v>
      </c>
      <c r="K275" s="17" t="n">
        <f aca="false">L273</f>
        <v>1909.8</v>
      </c>
      <c r="L275" s="17" t="n">
        <v>2098.5</v>
      </c>
      <c r="M275" s="17" t="n">
        <f aca="false">L275-K275</f>
        <v>188.7</v>
      </c>
      <c r="N275" s="23" t="s">
        <v>174</v>
      </c>
      <c r="O275" s="15" t="s">
        <v>516</v>
      </c>
      <c r="P275" s="15" t="n">
        <v>147</v>
      </c>
      <c r="Q275" s="18" t="s">
        <v>517</v>
      </c>
      <c r="R275" s="25" t="n">
        <f aca="false">IF(NOT(ISNUMBER(I275)),"",IF(F275="Mindestprognose",I275,IF(ISNUMBER(J275),(I275+J275)/2,I275)))</f>
        <v>2000</v>
      </c>
      <c r="S275" s="25" t="n">
        <f aca="false">IF(OR(R275="",NOT(ISNUMBER(L275))),"",R275-L275)</f>
        <v>-98.5</v>
      </c>
      <c r="T275" s="19" t="n">
        <f aca="false">IF(OR(S275="",G275&lt;&gt;"absolut",NOT(ISNUMBER(L275)),L275=0),"",S275/ABS(L275))</f>
        <v>-0.0469382892542292</v>
      </c>
      <c r="U275" s="19" t="n">
        <f aca="false">IF(T275="","",ABS(T275))</f>
        <v>0.0469382892542292</v>
      </c>
      <c r="V275" s="20" t="n">
        <f aca="false">IF(OR(F275="Punkt",NOT(ISNUMBER(L275))),"",IF(F275="Mindestprognose",IF(L275&gt;=I275,1,0),IF(AND(ISNUMBER(I275),ISNUMBER(J275),I275&lt;&gt;J275),IF(AND(L275&gt;=I275,L275&lt;=J275),1,0),"")))</f>
        <v>0</v>
      </c>
      <c r="W275" s="18"/>
      <c r="X275" s="0" t="str">
        <f aca="false">IF(OR(F275="qualitativ",F275="fehlend",NOT(ISNUMBER(L275))),"nicht auswertbar",IF(F275="Punkt","Punktprognose",IF(AND(ISNUMBER(I275),ISNUMBER(J275),I275&lt;&gt;J275),IF(L275&lt;I275,"unterhalb",IF(L275&gt;J275,"oberhalb","innerhalb")),"nicht auswertbar")))</f>
        <v>oberhalb</v>
      </c>
      <c r="Y275" s="25" t="str">
        <f aca="false">IF(AND(ISNUMBER(S275),OR(G275="Marge %",G275="Wachstumsrate %")),ABS(S275),"")</f>
        <v/>
      </c>
      <c r="Z275" s="0" t="str">
        <f aca="false">IFERROR(VLOOKUP(A275,Unternehmen!$A:$D,4,FALSE()),"")</f>
        <v>Immobilien</v>
      </c>
    </row>
    <row r="276" customFormat="false" ht="15" hidden="false" customHeight="true" outlineLevel="0" collapsed="false">
      <c r="A276" s="15" t="s">
        <v>121</v>
      </c>
      <c r="B276" s="15" t="n">
        <v>2022</v>
      </c>
      <c r="C276" s="15" t="s">
        <v>15</v>
      </c>
      <c r="D276" s="15" t="s">
        <v>516</v>
      </c>
      <c r="E276" s="15" t="n">
        <v>147</v>
      </c>
      <c r="F276" s="15" t="s">
        <v>183</v>
      </c>
      <c r="G276" s="15" t="s">
        <v>177</v>
      </c>
      <c r="H276" s="15" t="s">
        <v>178</v>
      </c>
      <c r="I276" s="17" t="n">
        <v>2000</v>
      </c>
      <c r="J276" s="17" t="n">
        <v>2100</v>
      </c>
      <c r="K276" s="17" t="n">
        <v>1694.4</v>
      </c>
      <c r="L276" s="17" t="n">
        <v>2035.6</v>
      </c>
      <c r="M276" s="17" t="n">
        <f aca="false">L276-K276</f>
        <v>341.2</v>
      </c>
      <c r="N276" s="22" t="s">
        <v>164</v>
      </c>
      <c r="O276" s="15" t="s">
        <v>518</v>
      </c>
      <c r="P276" s="15" t="n">
        <v>139</v>
      </c>
      <c r="Q276" s="18" t="s">
        <v>519</v>
      </c>
      <c r="R276" s="25" t="n">
        <f aca="false">IF(NOT(ISNUMBER(I276)),"",IF(F276="Mindestprognose",I276,IF(ISNUMBER(J276),(I276+J276)/2,I276)))</f>
        <v>2050</v>
      </c>
      <c r="S276" s="25" t="n">
        <f aca="false">IF(OR(R276="",NOT(ISNUMBER(L276))),"",R276-L276)</f>
        <v>14.4000000000001</v>
      </c>
      <c r="T276" s="19" t="n">
        <f aca="false">IF(OR(S276="",G276&lt;&gt;"absolut",NOT(ISNUMBER(L276)),L276=0),"",S276/ABS(L276))</f>
        <v>0.00707408135193559</v>
      </c>
      <c r="U276" s="19" t="n">
        <f aca="false">IF(T276="","",ABS(T276))</f>
        <v>0.00707408135193559</v>
      </c>
      <c r="V276" s="20" t="n">
        <f aca="false">IF(OR(F276="Punkt",NOT(ISNUMBER(L276))),"",IF(F276="Mindestprognose",IF(L276&gt;=I276,1,0),IF(AND(ISNUMBER(I276),ISNUMBER(J276),I276&lt;&gt;J276),IF(AND(L276&gt;=I276,L276&lt;=J276),1,0),"")))</f>
        <v>1</v>
      </c>
      <c r="W276" s="18"/>
      <c r="X276" s="0" t="str">
        <f aca="false">IF(OR(F276="qualitativ",F276="fehlend",NOT(ISNUMBER(L276))),"nicht auswertbar",IF(F276="Punkt","Punktprognose",IF(AND(ISNUMBER(I276),ISNUMBER(J276),I276&lt;&gt;J276),IF(L276&lt;I276,"unterhalb",IF(L276&gt;J276,"oberhalb","innerhalb")),"nicht auswertbar")))</f>
        <v>innerhalb</v>
      </c>
      <c r="Y276" s="25" t="str">
        <f aca="false">IF(AND(ISNUMBER(S276),OR(G276="Marge %",G276="Wachstumsrate %")),ABS(S276),"")</f>
        <v/>
      </c>
      <c r="Z276" s="0" t="str">
        <f aca="false">IFERROR(VLOOKUP(A276,Unternehmen!$A:$D,4,FALSE()),"")</f>
        <v>Immobilien</v>
      </c>
    </row>
    <row r="277" customFormat="false" ht="15" hidden="false" customHeight="true" outlineLevel="0" collapsed="false">
      <c r="A277" s="15" t="s">
        <v>121</v>
      </c>
      <c r="B277" s="15" t="n">
        <v>2022</v>
      </c>
      <c r="C277" s="15" t="s">
        <v>158</v>
      </c>
      <c r="D277" s="15" t="s">
        <v>516</v>
      </c>
      <c r="E277" s="15" t="n">
        <v>147</v>
      </c>
      <c r="F277" s="15" t="s">
        <v>183</v>
      </c>
      <c r="G277" s="15" t="s">
        <v>177</v>
      </c>
      <c r="H277" s="15" t="s">
        <v>178</v>
      </c>
      <c r="I277" s="17" t="n">
        <v>2750</v>
      </c>
      <c r="J277" s="17" t="n">
        <v>2850</v>
      </c>
      <c r="K277" s="17" t="n">
        <v>2254.4</v>
      </c>
      <c r="L277" s="17" t="n">
        <v>2763.1</v>
      </c>
      <c r="M277" s="17" t="n">
        <f aca="false">L277-K277</f>
        <v>508.7</v>
      </c>
      <c r="N277" s="22" t="s">
        <v>164</v>
      </c>
      <c r="O277" s="15" t="s">
        <v>518</v>
      </c>
      <c r="P277" s="15" t="n">
        <v>139</v>
      </c>
      <c r="Q277" s="18" t="s">
        <v>520</v>
      </c>
      <c r="R277" s="25" t="n">
        <f aca="false">IF(NOT(ISNUMBER(I277)),"",IF(F277="Mindestprognose",I277,IF(ISNUMBER(J277),(I277+J277)/2,I277)))</f>
        <v>2800</v>
      </c>
      <c r="S277" s="25" t="n">
        <f aca="false">IF(OR(R277="",NOT(ISNUMBER(L277))),"",R277-L277)</f>
        <v>36.9000000000001</v>
      </c>
      <c r="T277" s="19" t="n">
        <f aca="false">IF(OR(S277="",G277&lt;&gt;"absolut",NOT(ISNUMBER(L277)),L277=0),"",S277/ABS(L277))</f>
        <v>0.0133545655242301</v>
      </c>
      <c r="U277" s="19" t="n">
        <f aca="false">IF(T277="","",ABS(T277))</f>
        <v>0.0133545655242301</v>
      </c>
      <c r="V277" s="20" t="n">
        <f aca="false">IF(OR(F277="Punkt",NOT(ISNUMBER(L277))),"",IF(F277="Mindestprognose",IF(L277&gt;=I277,1,0),IF(AND(ISNUMBER(I277),ISNUMBER(J277),I277&lt;&gt;J277),IF(AND(L277&gt;=I277,L277&lt;=J277),1,0),"")))</f>
        <v>1</v>
      </c>
      <c r="W277" s="18"/>
      <c r="X277" s="0" t="str">
        <f aca="false">IF(OR(F277="qualitativ",F277="fehlend",NOT(ISNUMBER(L277))),"nicht auswertbar",IF(F277="Punkt","Punktprognose",IF(AND(ISNUMBER(I277),ISNUMBER(J277),I277&lt;&gt;J277),IF(L277&lt;I277,"unterhalb",IF(L277&gt;J277,"oberhalb","innerhalb")),"nicht auswertbar")))</f>
        <v>innerhalb</v>
      </c>
      <c r="Y277" s="25" t="str">
        <f aca="false">IF(AND(ISNUMBER(S277),OR(G277="Marge %",G277="Wachstumsrate %")),ABS(S277),"")</f>
        <v/>
      </c>
      <c r="Z277" s="0" t="str">
        <f aca="false">IFERROR(VLOOKUP(A277,Unternehmen!$A:$D,4,FALSE()),"")</f>
        <v>Immobilien</v>
      </c>
    </row>
    <row r="278" customFormat="false" ht="15" hidden="false" customHeight="true" outlineLevel="0" collapsed="false">
      <c r="A278" s="15" t="s">
        <v>121</v>
      </c>
      <c r="B278" s="15" t="n">
        <v>2023</v>
      </c>
      <c r="C278" s="15" t="s">
        <v>15</v>
      </c>
      <c r="D278" s="15" t="s">
        <v>518</v>
      </c>
      <c r="E278" s="15" t="n">
        <v>139</v>
      </c>
      <c r="F278" s="15" t="s">
        <v>183</v>
      </c>
      <c r="G278" s="15" t="s">
        <v>177</v>
      </c>
      <c r="H278" s="15" t="s">
        <v>178</v>
      </c>
      <c r="I278" s="17" t="n">
        <v>1750</v>
      </c>
      <c r="J278" s="17" t="n">
        <v>1950</v>
      </c>
      <c r="K278" s="17" t="n">
        <f aca="false">L276</f>
        <v>2035.6</v>
      </c>
      <c r="L278" s="17" t="n">
        <v>1847.1</v>
      </c>
      <c r="M278" s="17" t="n">
        <f aca="false">L278-K278</f>
        <v>-188.5</v>
      </c>
      <c r="N278" s="22" t="s">
        <v>164</v>
      </c>
      <c r="O278" s="15" t="s">
        <v>521</v>
      </c>
      <c r="P278" s="15" t="n">
        <v>144</v>
      </c>
      <c r="Q278" s="18"/>
      <c r="R278" s="25" t="n">
        <f aca="false">IF(NOT(ISNUMBER(I278)),"",IF(F278="Mindestprognose",I278,IF(ISNUMBER(J278),(I278+J278)/2,I278)))</f>
        <v>1850</v>
      </c>
      <c r="S278" s="25" t="n">
        <f aca="false">IF(OR(R278="",NOT(ISNUMBER(L278))),"",R278-L278)</f>
        <v>2.90000000000009</v>
      </c>
      <c r="T278" s="19" t="n">
        <f aca="false">IF(OR(S278="",G278&lt;&gt;"absolut",NOT(ISNUMBER(L278)),L278=0),"",S278/ABS(L278))</f>
        <v>0.0015700286936279</v>
      </c>
      <c r="U278" s="19" t="n">
        <f aca="false">IF(T278="","",ABS(T278))</f>
        <v>0.0015700286936279</v>
      </c>
      <c r="V278" s="20" t="n">
        <f aca="false">IF(OR(F278="Punkt",NOT(ISNUMBER(L278))),"",IF(F278="Mindestprognose",IF(L278&gt;=I278,1,0),IF(AND(ISNUMBER(I278),ISNUMBER(J278),I278&lt;&gt;J278),IF(AND(L278&gt;=I278,L278&lt;=J278),1,0),"")))</f>
        <v>1</v>
      </c>
      <c r="W278" s="18"/>
      <c r="X278" s="0" t="str">
        <f aca="false">IF(OR(F278="qualitativ",F278="fehlend",NOT(ISNUMBER(L278))),"nicht auswertbar",IF(F278="Punkt","Punktprognose",IF(AND(ISNUMBER(I278),ISNUMBER(J278),I278&lt;&gt;J278),IF(L278&lt;I278,"unterhalb",IF(L278&gt;J278,"oberhalb","innerhalb")),"nicht auswertbar")))</f>
        <v>innerhalb</v>
      </c>
      <c r="Y278" s="25" t="str">
        <f aca="false">IF(AND(ISNUMBER(S278),OR(G278="Marge %",G278="Wachstumsrate %")),ABS(S278),"")</f>
        <v/>
      </c>
      <c r="Z278" s="0" t="str">
        <f aca="false">IFERROR(VLOOKUP(A278,Unternehmen!$A:$D,4,FALSE()),"")</f>
        <v>Immobilien</v>
      </c>
    </row>
    <row r="279" customFormat="false" ht="15" hidden="false" customHeight="true" outlineLevel="0" collapsed="false">
      <c r="A279" s="15" t="s">
        <v>121</v>
      </c>
      <c r="B279" s="15" t="n">
        <v>2023</v>
      </c>
      <c r="C279" s="15" t="s">
        <v>158</v>
      </c>
      <c r="D279" s="15" t="s">
        <v>518</v>
      </c>
      <c r="E279" s="15" t="n">
        <v>139</v>
      </c>
      <c r="F279" s="15" t="s">
        <v>183</v>
      </c>
      <c r="G279" s="15" t="s">
        <v>177</v>
      </c>
      <c r="H279" s="15" t="s">
        <v>178</v>
      </c>
      <c r="I279" s="17" t="n">
        <v>2600</v>
      </c>
      <c r="J279" s="17" t="n">
        <v>2850</v>
      </c>
      <c r="K279" s="17" t="n">
        <f aca="false">L277</f>
        <v>2763.1</v>
      </c>
      <c r="L279" s="17" t="n">
        <v>2652.4</v>
      </c>
      <c r="M279" s="17" t="n">
        <f aca="false">L279-K279</f>
        <v>-110.7</v>
      </c>
      <c r="N279" s="22" t="s">
        <v>164</v>
      </c>
      <c r="O279" s="15" t="s">
        <v>521</v>
      </c>
      <c r="P279" s="15" t="n">
        <v>144</v>
      </c>
      <c r="Q279" s="18" t="s">
        <v>522</v>
      </c>
      <c r="R279" s="25" t="n">
        <f aca="false">IF(NOT(ISNUMBER(I279)),"",IF(F279="Mindestprognose",I279,IF(ISNUMBER(J279),(I279+J279)/2,I279)))</f>
        <v>2725</v>
      </c>
      <c r="S279" s="25" t="n">
        <f aca="false">IF(OR(R279="",NOT(ISNUMBER(L279))),"",R279-L279)</f>
        <v>72.5999999999999</v>
      </c>
      <c r="T279" s="19" t="n">
        <f aca="false">IF(OR(S279="",G279&lt;&gt;"absolut",NOT(ISNUMBER(L279)),L279=0),"",S279/ABS(L279))</f>
        <v>0.0273714371889609</v>
      </c>
      <c r="U279" s="19" t="n">
        <f aca="false">IF(T279="","",ABS(T279))</f>
        <v>0.0273714371889609</v>
      </c>
      <c r="V279" s="20" t="n">
        <f aca="false">IF(OR(F279="Punkt",NOT(ISNUMBER(L279))),"",IF(F279="Mindestprognose",IF(L279&gt;=I279,1,0),IF(AND(ISNUMBER(I279),ISNUMBER(J279),I279&lt;&gt;J279),IF(AND(L279&gt;=I279,L279&lt;=J279),1,0),"")))</f>
        <v>1</v>
      </c>
      <c r="W279" s="18"/>
      <c r="X279" s="0" t="str">
        <f aca="false">IF(OR(F279="qualitativ",F279="fehlend",NOT(ISNUMBER(L279))),"nicht auswertbar",IF(F279="Punkt","Punktprognose",IF(AND(ISNUMBER(I279),ISNUMBER(J279),I279&lt;&gt;J279),IF(L279&lt;I279,"unterhalb",IF(L279&gt;J279,"oberhalb","innerhalb")),"nicht auswertbar")))</f>
        <v>innerhalb</v>
      </c>
      <c r="Y279" s="25" t="str">
        <f aca="false">IF(AND(ISNUMBER(S279),OR(G279="Marge %",G279="Wachstumsrate %")),ABS(S279),"")</f>
        <v/>
      </c>
      <c r="Z279" s="0" t="str">
        <f aca="false">IFERROR(VLOOKUP(A279,Unternehmen!$A:$D,4,FALSE()),"")</f>
        <v>Immobilien</v>
      </c>
    </row>
    <row r="280" customFormat="false" ht="15" hidden="false" customHeight="true" outlineLevel="0" collapsed="false">
      <c r="A280" s="15" t="s">
        <v>121</v>
      </c>
      <c r="B280" s="15" t="n">
        <v>2024</v>
      </c>
      <c r="C280" s="15" t="s">
        <v>15</v>
      </c>
      <c r="D280" s="15" t="s">
        <v>521</v>
      </c>
      <c r="E280" s="41"/>
      <c r="F280" s="41" t="s">
        <v>206</v>
      </c>
      <c r="G280" s="41"/>
      <c r="H280" s="41"/>
      <c r="I280" s="42"/>
      <c r="J280" s="42"/>
      <c r="K280" s="42"/>
      <c r="L280" s="42"/>
      <c r="M280" s="42"/>
      <c r="N280" s="41"/>
      <c r="O280" s="43"/>
      <c r="P280" s="41"/>
      <c r="Q280" s="18" t="s">
        <v>523</v>
      </c>
      <c r="R280" s="25" t="str">
        <f aca="false">IF(NOT(ISNUMBER(I280)),"",IF(F280="Mindestprognose",I280,IF(ISNUMBER(J280),(I280+J280)/2,I280)))</f>
        <v/>
      </c>
      <c r="S280" s="25" t="str">
        <f aca="false">IF(OR(R280="",NOT(ISNUMBER(L280))),"",R280-L280)</f>
        <v/>
      </c>
      <c r="T280" s="19" t="str">
        <f aca="false">IF(OR(S280="",G280&lt;&gt;"absolut",NOT(ISNUMBER(L280)),L280=0),"",S280/ABS(L280))</f>
        <v/>
      </c>
      <c r="U280" s="19" t="str">
        <f aca="false">IF(T280="","",ABS(T280))</f>
        <v/>
      </c>
      <c r="V280" s="20" t="str">
        <f aca="false">IF(OR(F280="Punkt",NOT(ISNUMBER(L280))),"",IF(F280="Mindestprognose",IF(L280&gt;=I280,1,0),IF(AND(ISNUMBER(I280),ISNUMBER(J280),I280&lt;&gt;J280),IF(AND(L280&gt;=I280,L280&lt;=J280),1,0),"")))</f>
        <v/>
      </c>
      <c r="W280" s="18"/>
      <c r="X280" s="0" t="str">
        <f aca="false">IF(OR(F280="qualitativ",F280="fehlend",NOT(ISNUMBER(L280))),"nicht auswertbar",IF(F280="Punkt","Punktprognose",IF(AND(ISNUMBER(I280),ISNUMBER(J280),I280&lt;&gt;J280),IF(L280&lt;I280,"unterhalb",IF(L280&gt;J280,"oberhalb","innerhalb")),"nicht auswertbar")))</f>
        <v>nicht auswertbar</v>
      </c>
      <c r="Y280" s="25" t="str">
        <f aca="false">IF(AND(ISNUMBER(S280),OR(G280="Marge %",G280="Wachstumsrate %")),ABS(S280),"")</f>
        <v/>
      </c>
      <c r="Z280" s="0" t="str">
        <f aca="false">IFERROR(VLOOKUP(A280,Unternehmen!$A:$D,4,FALSE()),"")</f>
        <v>Immobilien</v>
      </c>
    </row>
    <row r="281" customFormat="false" ht="15" hidden="false" customHeight="true" outlineLevel="0" collapsed="false">
      <c r="A281" s="15" t="s">
        <v>121</v>
      </c>
      <c r="B281" s="15" t="n">
        <v>2024</v>
      </c>
      <c r="C281" s="15" t="s">
        <v>158</v>
      </c>
      <c r="D281" s="15" t="s">
        <v>521</v>
      </c>
      <c r="E281" s="15" t="n">
        <v>145</v>
      </c>
      <c r="F281" s="15" t="s">
        <v>183</v>
      </c>
      <c r="G281" s="15" t="s">
        <v>177</v>
      </c>
      <c r="H281" s="15" t="s">
        <v>178</v>
      </c>
      <c r="I281" s="17" t="n">
        <v>2550</v>
      </c>
      <c r="J281" s="17" t="n">
        <v>2650</v>
      </c>
      <c r="K281" s="17" t="n">
        <v>2583.8</v>
      </c>
      <c r="L281" s="17" t="n">
        <v>2625.1</v>
      </c>
      <c r="M281" s="17" t="n">
        <f aca="false">L281-K281</f>
        <v>41.2999999999997</v>
      </c>
      <c r="N281" s="22" t="s">
        <v>164</v>
      </c>
      <c r="O281" s="39" t="s">
        <v>524</v>
      </c>
      <c r="P281" s="15" t="n">
        <v>208</v>
      </c>
      <c r="Q281" s="18" t="s">
        <v>525</v>
      </c>
      <c r="R281" s="25" t="n">
        <f aca="false">IF(NOT(ISNUMBER(I281)),"",IF(F281="Mindestprognose",I281,IF(ISNUMBER(J281),(I281+J281)/2,I281)))</f>
        <v>2600</v>
      </c>
      <c r="S281" s="25" t="n">
        <f aca="false">IF(OR(R281="",NOT(ISNUMBER(L281))),"",R281-L281)</f>
        <v>-25.0999999999999</v>
      </c>
      <c r="T281" s="19" t="n">
        <f aca="false">IF(OR(S281="",G281&lt;&gt;"absolut",NOT(ISNUMBER(L281)),L281=0),"",S281/ABS(L281))</f>
        <v>-0.00956154051274234</v>
      </c>
      <c r="U281" s="19" t="n">
        <f aca="false">IF(T281="","",ABS(T281))</f>
        <v>0.00956154051274234</v>
      </c>
      <c r="V281" s="20" t="n">
        <f aca="false">IF(OR(F281="Punkt",NOT(ISNUMBER(L281))),"",IF(F281="Mindestprognose",IF(L281&gt;=I281,1,0),IF(AND(ISNUMBER(I281),ISNUMBER(J281),I281&lt;&gt;J281),IF(AND(L281&gt;=I281,L281&lt;=J281),1,0),"")))</f>
        <v>1</v>
      </c>
      <c r="W281" s="18"/>
      <c r="X281" s="0" t="str">
        <f aca="false">IF(OR(F281="qualitativ",F281="fehlend",NOT(ISNUMBER(L281))),"nicht auswertbar",IF(F281="Punkt","Punktprognose",IF(AND(ISNUMBER(I281),ISNUMBER(J281),I281&lt;&gt;J281),IF(L281&lt;I281,"unterhalb",IF(L281&gt;J281,"oberhalb","innerhalb")),"nicht auswertbar")))</f>
        <v>innerhalb</v>
      </c>
      <c r="Y281" s="25" t="str">
        <f aca="false">IF(AND(ISNUMBER(S281),OR(G281="Marge %",G281="Wachstumsrate %")),ABS(S281),"")</f>
        <v/>
      </c>
      <c r="Z281" s="0" t="str">
        <f aca="false">IFERROR(VLOOKUP(A281,Unternehmen!$A:$D,4,FALSE()),"")</f>
        <v>Immobilien</v>
      </c>
    </row>
    <row r="283" customFormat="false" ht="14.25" hidden="false" customHeight="true" outlineLevel="0" collapsed="false">
      <c r="A283" s="44" t="s">
        <v>526</v>
      </c>
      <c r="B283" s="44"/>
      <c r="C283" s="44"/>
      <c r="D283" s="44"/>
      <c r="E283" s="44"/>
      <c r="F283" s="44"/>
      <c r="G283" s="44"/>
      <c r="H283" s="9"/>
      <c r="I283" s="9"/>
      <c r="J283" s="9"/>
      <c r="K283" s="9"/>
      <c r="L283" s="9"/>
      <c r="M283" s="9"/>
      <c r="N283" s="9"/>
      <c r="O283" s="9"/>
      <c r="P283" s="9"/>
    </row>
  </sheetData>
  <autoFilter ref="A1:Q281"/>
  <mergeCells count="3">
    <mergeCell ref="A283:G283"/>
    <mergeCell ref="H283:N283"/>
    <mergeCell ref="O283:P283"/>
  </mergeCells>
  <dataValidations count="3">
    <dataValidation allowBlank="true" errorStyle="stop" operator="between" showDropDown="false" showErrorMessage="false" showInputMessage="false" sqref="F2:F281" type="list">
      <formula1>"Punkt,Bandbreite,Punkt mit Korridor,Mindestprognose,verbal-quantifiziert,qualitativ,fehlend,zurueckgezogen"</formula1>
      <formula2>0</formula2>
    </dataValidation>
    <dataValidation allowBlank="true" errorStyle="stop" operator="between" showDropDown="false" showErrorMessage="false" showInputMessage="false" sqref="C2:C281" type="list">
      <formula1>"Umsatz,Operative Ergebnisgroesse"</formula1>
      <formula2>0</formula2>
    </dataValidation>
    <dataValidation allowBlank="true" errorStyle="stop" operator="between" showDropDown="false" showErrorMessage="false" showInputMessage="false" sqref="G2:G281" type="list">
      <formula1>"absolut,Wachstumsrate %,Marge %"</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6" footer="0.511811023622047"/>
  <pageSetup paperSize="9" scale="100" fitToWidth="1" fitToHeight="0" pageOrder="downThenOver" orientation="landscape" blackAndWhite="false" draft="false" cellComments="none" horizontalDpi="300" verticalDpi="300" copies="1"/>
  <headerFooter differentFirst="false" differentOddEven="false">
    <oddHeader>&amp;RAugust 2026</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G25" activeCellId="0" sqref="G25"/>
    </sheetView>
  </sheetViews>
  <sheetFormatPr defaultColWidth="8.6328125" defaultRowHeight="14.25" zeroHeight="false" outlineLevelRow="0" outlineLevelCol="0"/>
  <cols>
    <col collapsed="false" customWidth="true" hidden="false" outlineLevel="0" max="1" min="1" style="0" width="38"/>
    <col collapsed="false" customWidth="true" hidden="false" outlineLevel="0" max="7" min="2" style="0" width="17"/>
  </cols>
  <sheetData>
    <row r="1" customFormat="false" ht="17.25" hidden="false" customHeight="true" outlineLevel="0" collapsed="false">
      <c r="A1" s="45" t="s">
        <v>527</v>
      </c>
    </row>
    <row r="3" customFormat="false" ht="15" hidden="false" customHeight="true" outlineLevel="0" collapsed="false">
      <c r="A3" s="46" t="s">
        <v>528</v>
      </c>
      <c r="B3" s="47"/>
      <c r="C3" s="47"/>
      <c r="D3" s="47"/>
      <c r="E3" s="47"/>
    </row>
    <row r="4" customFormat="false" ht="15" hidden="false" customHeight="true" outlineLevel="0" collapsed="false">
      <c r="A4" s="0" t="s">
        <v>529</v>
      </c>
      <c r="B4" s="0" t="n">
        <f aca="false">COUNTA(Daten!$A$2:$A$281)</f>
        <v>280</v>
      </c>
    </row>
    <row r="5" customFormat="false" ht="15" hidden="false" customHeight="true" outlineLevel="0" collapsed="false">
      <c r="A5" s="0" t="s">
        <v>530</v>
      </c>
      <c r="B5" s="0" t="n">
        <f aca="false">COUNTIF(Daten!$C$2:$C$281,"Umsatz")</f>
        <v>140</v>
      </c>
    </row>
    <row r="6" customFormat="false" ht="15" hidden="false" customHeight="true" outlineLevel="0" collapsed="false">
      <c r="A6" s="0" t="s">
        <v>531</v>
      </c>
      <c r="B6" s="0" t="n">
        <f aca="false">COUNTIF(Daten!$C$2:$C$281,"Operative Ergebnisgroesse")</f>
        <v>140</v>
      </c>
    </row>
    <row r="8" customFormat="false" ht="15" hidden="false" customHeight="true" outlineLevel="0" collapsed="false">
      <c r="A8" s="0" t="s">
        <v>532</v>
      </c>
      <c r="B8" s="0" t="n">
        <f aca="false">COUNT(Daten!$S$2:$S$281)</f>
        <v>177</v>
      </c>
      <c r="C8" s="0" t="s">
        <v>533</v>
      </c>
      <c r="D8" s="0" t="n">
        <f aca="false">B8+B9+B10+B11</f>
        <v>280</v>
      </c>
    </row>
    <row r="9" customFormat="false" ht="15" hidden="false" customHeight="true" outlineLevel="0" collapsed="false">
      <c r="A9" s="0" t="s">
        <v>187</v>
      </c>
      <c r="B9" s="0" t="n">
        <f aca="false">COUNTIF(Daten!$F$2:$F$281,"qualitativ")</f>
        <v>61</v>
      </c>
    </row>
    <row r="10" customFormat="false" ht="15" hidden="false" customHeight="true" outlineLevel="0" collapsed="false">
      <c r="A10" s="0" t="s">
        <v>206</v>
      </c>
      <c r="B10" s="0" t="n">
        <f aca="false">COUNTIF(Daten!$F$2:$F$281,"fehlend")</f>
        <v>38</v>
      </c>
    </row>
    <row r="11" customFormat="false" ht="15" hidden="false" customHeight="true" outlineLevel="0" collapsed="false">
      <c r="A11" s="0" t="s">
        <v>534</v>
      </c>
      <c r="B11" s="0" t="n">
        <f aca="false">SUMPRODUCT((Daten!$F$2:$F$281="verbal-quantifiziert")*NOT(ISNUMBER(Daten!$S$2:$S$281)))</f>
        <v>4</v>
      </c>
    </row>
    <row r="12" customFormat="false" ht="14.25" hidden="false" customHeight="false" outlineLevel="0" collapsed="false">
      <c r="A12" s="48" t="s">
        <v>535</v>
      </c>
      <c r="B12" s="19" t="n">
        <f aca="false">1-B8/B4</f>
        <v>0.367857142857143</v>
      </c>
    </row>
    <row r="13" customFormat="false" ht="15" hidden="false" customHeight="true" outlineLevel="0" collapsed="false">
      <c r="A13" s="46" t="s">
        <v>536</v>
      </c>
      <c r="B13" s="47"/>
      <c r="C13" s="47"/>
      <c r="D13" s="47"/>
      <c r="E13" s="47"/>
    </row>
    <row r="14" customFormat="false" ht="15" hidden="false" customHeight="true" outlineLevel="0" collapsed="false">
      <c r="A14" s="0" t="s">
        <v>153</v>
      </c>
      <c r="B14" s="0" t="n">
        <f aca="false">COUNTIF(Daten!$F$2:$F$281,"Bandbreite")</f>
        <v>78</v>
      </c>
      <c r="C14" s="19" t="n">
        <f aca="false">B14/COUNTA(Daten!$A$2:$A$281)</f>
        <v>0.278571428571429</v>
      </c>
    </row>
    <row r="15" customFormat="false" ht="15" hidden="false" customHeight="true" outlineLevel="0" collapsed="false">
      <c r="A15" s="0" t="s">
        <v>183</v>
      </c>
      <c r="B15" s="0" t="n">
        <f aca="false">COUNTIF(Daten!$F$2:$F$281,"Punkt mit Korridor")</f>
        <v>60</v>
      </c>
      <c r="C15" s="19" t="n">
        <f aca="false">B15/COUNTA(Daten!$A$2:$A$281)</f>
        <v>0.214285714285714</v>
      </c>
    </row>
    <row r="16" customFormat="false" ht="15" hidden="false" customHeight="true" outlineLevel="0" collapsed="false">
      <c r="A16" s="0" t="s">
        <v>176</v>
      </c>
      <c r="B16" s="0" t="n">
        <f aca="false">COUNTIF(Daten!$F$2:$F$281,"Punkt")</f>
        <v>31</v>
      </c>
      <c r="C16" s="19" t="n">
        <f aca="false">B16/COUNTA(Daten!$A$2:$A$281)</f>
        <v>0.110714285714286</v>
      </c>
    </row>
    <row r="17" customFormat="false" ht="15" hidden="false" customHeight="true" outlineLevel="0" collapsed="false">
      <c r="A17" s="0" t="s">
        <v>235</v>
      </c>
      <c r="B17" s="0" t="n">
        <f aca="false">COUNTIF(Daten!$F$2:$F$281,"verbal-quantifiziert")</f>
        <v>12</v>
      </c>
      <c r="C17" s="19" t="n">
        <f aca="false">B17/COUNTA(Daten!$A$2:$A$281)</f>
        <v>0.0428571428571429</v>
      </c>
    </row>
    <row r="18" customFormat="false" ht="15" hidden="false" customHeight="true" outlineLevel="0" collapsed="false">
      <c r="A18" s="0" t="s">
        <v>187</v>
      </c>
      <c r="B18" s="0" t="n">
        <f aca="false">COUNTIF(Daten!$F$2:$F$281,"qualitativ")</f>
        <v>61</v>
      </c>
      <c r="C18" s="19" t="n">
        <f aca="false">B18/COUNTA(Daten!$A$2:$A$281)</f>
        <v>0.217857142857143</v>
      </c>
    </row>
    <row r="19" customFormat="false" ht="15" hidden="false" customHeight="true" outlineLevel="0" collapsed="false">
      <c r="A19" s="0" t="s">
        <v>206</v>
      </c>
      <c r="B19" s="0" t="n">
        <f aca="false">COUNTIF(Daten!$F$2:$F$281,"fehlend")</f>
        <v>38</v>
      </c>
      <c r="C19" s="19" t="n">
        <f aca="false">B19/COUNTA(Daten!$A$2:$A$281)</f>
        <v>0.135714285714286</v>
      </c>
    </row>
    <row r="21" customFormat="false" ht="15" hidden="false" customHeight="true" outlineLevel="0" collapsed="false">
      <c r="A21" s="46" t="s">
        <v>537</v>
      </c>
      <c r="B21" s="47"/>
      <c r="C21" s="47"/>
      <c r="D21" s="47"/>
      <c r="E21" s="47"/>
    </row>
    <row r="22" customFormat="false" ht="15" hidden="false" customHeight="true" outlineLevel="0" collapsed="false">
      <c r="A22" s="0" t="s">
        <v>538</v>
      </c>
      <c r="B22" s="19" t="n">
        <f aca="false">AVERAGEIFS(Daten!$U$2:$U$281,Daten!$G$2:$G$281,"absolut")</f>
        <v>0.133603068600078</v>
      </c>
    </row>
    <row r="23" customFormat="false" ht="15" hidden="false" customHeight="true" outlineLevel="0" collapsed="false">
      <c r="A23" s="0" t="s">
        <v>539</v>
      </c>
      <c r="B23" s="20" t="n">
        <f aca="false">COUNTIFS(Daten!$G$2:$G$281,"absolut",Daten!$U$2:$U$281,"&gt;=0")</f>
        <v>119</v>
      </c>
    </row>
    <row r="24" customFormat="false" ht="15" hidden="false" customHeight="true" outlineLevel="0" collapsed="false">
      <c r="A24" s="0" t="s">
        <v>540</v>
      </c>
      <c r="B24" s="19" t="n">
        <f aca="false">AVERAGEIFS(Daten!$T$2:$T$281,Daten!$G$2:$G$281,"absolut")</f>
        <v>-0.0271637626520671</v>
      </c>
    </row>
    <row r="26" customFormat="false" ht="15" hidden="false" customHeight="true" outlineLevel="0" collapsed="false">
      <c r="A26" s="0" t="s">
        <v>541</v>
      </c>
      <c r="B26" s="19" t="n">
        <f aca="false">AVERAGE(Daten!$Y$2:$Y$281)</f>
        <v>0.0294655172413793</v>
      </c>
    </row>
    <row r="27" customFormat="false" ht="15" hidden="false" customHeight="true" outlineLevel="0" collapsed="false">
      <c r="A27" s="0" t="s">
        <v>539</v>
      </c>
      <c r="B27" s="20" t="n">
        <f aca="false">COUNT(Daten!$Y$2:$Y$281)</f>
        <v>58</v>
      </c>
    </row>
    <row r="29" customFormat="false" ht="15" hidden="false" customHeight="true" outlineLevel="0" collapsed="false">
      <c r="A29" s="0" t="s">
        <v>542</v>
      </c>
      <c r="B29" s="19" t="n">
        <f aca="false">AVERAGE(Daten!$V$2:$V$281)</f>
        <v>0.28169014084507</v>
      </c>
    </row>
    <row r="30" customFormat="false" ht="15" hidden="false" customHeight="true" outlineLevel="0" collapsed="false">
      <c r="A30" s="0" t="s">
        <v>543</v>
      </c>
      <c r="B30" s="20" t="n">
        <f aca="false">COUNTIF(Daten!$X$2:$X$281,"innerhalb")</f>
        <v>40</v>
      </c>
    </row>
    <row r="31" customFormat="false" ht="15" hidden="false" customHeight="true" outlineLevel="0" collapsed="false">
      <c r="A31" s="0" t="s">
        <v>544</v>
      </c>
      <c r="B31" s="20" t="n">
        <f aca="false">COUNTIF(Daten!$X$2:$X$281,"oberhalb")</f>
        <v>49</v>
      </c>
    </row>
    <row r="32" customFormat="false" ht="15" hidden="false" customHeight="true" outlineLevel="0" collapsed="false">
      <c r="A32" s="0" t="s">
        <v>545</v>
      </c>
      <c r="B32" s="20" t="n">
        <f aca="false">COUNTIF(Daten!$X$2:$X$281,"unterhalb")</f>
        <v>53</v>
      </c>
    </row>
    <row r="34" customFormat="false" ht="15" hidden="false" customHeight="true" outlineLevel="0" collapsed="false">
      <c r="A34" s="46" t="s">
        <v>546</v>
      </c>
      <c r="B34" s="47"/>
      <c r="C34" s="47"/>
      <c r="D34" s="47"/>
      <c r="E34" s="47"/>
    </row>
    <row r="35" customFormat="false" ht="15" hidden="false" customHeight="true" outlineLevel="0" collapsed="false">
      <c r="A35" s="49"/>
      <c r="B35" s="49" t="s">
        <v>547</v>
      </c>
      <c r="C35" s="49" t="s">
        <v>548</v>
      </c>
      <c r="D35" s="49" t="s">
        <v>549</v>
      </c>
      <c r="E35" s="49" t="s">
        <v>548</v>
      </c>
      <c r="F35" s="49" t="s">
        <v>550</v>
      </c>
    </row>
    <row r="36" customFormat="false" ht="15" hidden="false" customHeight="true" outlineLevel="0" collapsed="false">
      <c r="A36" s="0" t="s">
        <v>15</v>
      </c>
      <c r="B36" s="19" t="n">
        <f aca="false">IFERROR(AVERAGEIFS(Daten!$U$2:$U$281,Daten!$G$2:$G$281,"absolut",Daten!$C$2:$C$281,"Umsatz"),"")</f>
        <v>0.0587902353410174</v>
      </c>
      <c r="C36" s="50" t="n">
        <f aca="false">COUNTIFS(Daten!$G$2:$G$281,"absolut",Daten!$C$2:$C$281,"Umsatz",Daten!$U$2:$U$281,"&gt;=0")</f>
        <v>49</v>
      </c>
      <c r="D36" s="19" t="n">
        <f aca="false">IFERROR(AVERAGEIFS(Daten!$Y$2:$Y$281,Daten!$C$2:$C$281,"Umsatz"),"")</f>
        <v>0.0532222222222222</v>
      </c>
      <c r="E36" s="50" t="n">
        <f aca="false">COUNTIFS(Daten!$C$2:$C$281,"Umsatz",Daten!$Y$2:$Y$281,"&gt;=0")</f>
        <v>18</v>
      </c>
      <c r="F36" s="19" t="n">
        <f aca="false">IFERROR(AVERAGEIFS(Daten!$V$2:$V$281,Daten!$C$2:$C$281,"Umsatz"),"")</f>
        <v>0.220338983050847</v>
      </c>
    </row>
    <row r="37" customFormat="false" ht="15" hidden="false" customHeight="true" outlineLevel="0" collapsed="false">
      <c r="A37" s="0" t="s">
        <v>158</v>
      </c>
      <c r="B37" s="19" t="n">
        <f aca="false">IFERROR(AVERAGEIFS(Daten!$U$2:$U$281,Daten!$G$2:$G$281,"absolut",Daten!$C$2:$C$281,"Operative Ergebnisgroesse"),"")</f>
        <v>0.185972051881421</v>
      </c>
      <c r="C37" s="50" t="n">
        <f aca="false">COUNTIFS(Daten!$G$2:$G$281,"absolut",Daten!$C$2:$C$281,"Operative Ergebnisgroesse",Daten!$U$2:$U$281,"&gt;=0")</f>
        <v>70</v>
      </c>
      <c r="D37" s="19" t="n">
        <f aca="false">IFERROR(AVERAGEIFS(Daten!$Y$2:$Y$281,Daten!$C$2:$C$281,"Operative Ergebnisgroesse"),"")</f>
        <v>0.018775</v>
      </c>
      <c r="E37" s="50" t="n">
        <f aca="false">COUNTIFS(Daten!$C$2:$C$281,"Operative Ergebnisgroesse",Daten!$Y$2:$Y$281,"&gt;=0")</f>
        <v>40</v>
      </c>
      <c r="F37" s="19" t="n">
        <f aca="false">IFERROR(AVERAGEIFS(Daten!$V$2:$V$281,Daten!$C$2:$C$281,"Operative Ergebnisgroesse"),"")</f>
        <v>0.325301204819277</v>
      </c>
    </row>
    <row r="39" customFormat="false" ht="15" hidden="false" customHeight="true" outlineLevel="0" collapsed="false">
      <c r="A39" s="46" t="s">
        <v>551</v>
      </c>
      <c r="B39" s="47"/>
      <c r="C39" s="47"/>
      <c r="D39" s="47"/>
      <c r="E39" s="47"/>
    </row>
    <row r="40" customFormat="false" ht="15" hidden="false" customHeight="true" outlineLevel="0" collapsed="false">
      <c r="A40" s="49" t="s">
        <v>552</v>
      </c>
      <c r="B40" s="49" t="s">
        <v>547</v>
      </c>
      <c r="C40" s="49" t="s">
        <v>548</v>
      </c>
      <c r="D40" s="49" t="s">
        <v>549</v>
      </c>
      <c r="E40" s="49" t="s">
        <v>548</v>
      </c>
      <c r="F40" s="49" t="s">
        <v>550</v>
      </c>
      <c r="G40" s="49" t="s">
        <v>553</v>
      </c>
    </row>
    <row r="41" customFormat="false" ht="15" hidden="false" customHeight="true" outlineLevel="0" collapsed="false">
      <c r="A41" s="0" t="n">
        <v>2020</v>
      </c>
      <c r="B41" s="19" t="n">
        <f aca="false">IFERROR(AVERAGEIFS(Daten!$U$2:$U$281,Daten!$G$2:$G$281,"absolut",Daten!$B$2:$B$281,2020),"")</f>
        <v>0.131566704018112</v>
      </c>
      <c r="C41" s="50" t="n">
        <f aca="false">COUNTIFS(Daten!$G$2:$G$281,"absolut",Daten!$B$2:$B$281,2020,Daten!$U$2:$U$281,"&gt;=0")</f>
        <v>20</v>
      </c>
      <c r="D41" s="19" t="n">
        <f aca="false">IFERROR(AVERAGEIFS(Daten!$Y$2:$Y$281,Daten!$B$2:$B$281,2020),"")</f>
        <v>0.0522</v>
      </c>
      <c r="E41" s="50" t="n">
        <f aca="false">COUNTIFS(Daten!$B$2:$B$281,2020,Daten!$Y$2:$Y$281,"&gt;=0")</f>
        <v>10</v>
      </c>
      <c r="F41" s="19" t="n">
        <f aca="false">IFERROR(AVERAGEIFS(Daten!$V$2:$V$281,Daten!$B$2:$B$281,2020),"")</f>
        <v>0.16</v>
      </c>
      <c r="G41" s="19" t="n">
        <f aca="false">IFERROR(AVERAGEIFS(Daten!$T$2:$T$281,Daten!$G$2:$G$281,"absolut",Daten!$B$2:$B$281,2020),"")</f>
        <v>0.0861225315543861</v>
      </c>
    </row>
    <row r="42" customFormat="false" ht="15" hidden="false" customHeight="true" outlineLevel="0" collapsed="false">
      <c r="A42" s="0" t="n">
        <v>2021</v>
      </c>
      <c r="B42" s="19" t="n">
        <f aca="false">IFERROR(AVERAGEIFS(Daten!$U$2:$U$281,Daten!$G$2:$G$281,"absolut",Daten!$B$2:$B$281,2021),"")</f>
        <v>0.117396394329729</v>
      </c>
      <c r="C42" s="50" t="n">
        <f aca="false">COUNTIFS(Daten!$G$2:$G$281,"absolut",Daten!$B$2:$B$281,2021,Daten!$U$2:$U$281,"&gt;=0")</f>
        <v>21</v>
      </c>
      <c r="D42" s="19" t="n">
        <f aca="false">IFERROR(AVERAGEIFS(Daten!$Y$2:$Y$281,Daten!$B$2:$B$281,2021),"")</f>
        <v>0.0182272727272727</v>
      </c>
      <c r="E42" s="50" t="n">
        <f aca="false">COUNTIFS(Daten!$B$2:$B$281,2021,Daten!$Y$2:$Y$281,"&gt;=0")</f>
        <v>11</v>
      </c>
      <c r="F42" s="19" t="n">
        <f aca="false">IFERROR(AVERAGEIFS(Daten!$V$2:$V$281,Daten!$B$2:$B$281,2021),"")</f>
        <v>0.16</v>
      </c>
      <c r="G42" s="19" t="n">
        <f aca="false">IFERROR(AVERAGEIFS(Daten!$T$2:$T$281,Daten!$G$2:$G$281,"absolut",Daten!$B$2:$B$281,2021),"")</f>
        <v>-0.0510406930046516</v>
      </c>
    </row>
    <row r="43" customFormat="false" ht="15" hidden="false" customHeight="true" outlineLevel="0" collapsed="false">
      <c r="A43" s="0" t="n">
        <v>2022</v>
      </c>
      <c r="B43" s="19" t="n">
        <f aca="false">IFERROR(AVERAGEIFS(Daten!$U$2:$U$281,Daten!$G$2:$G$281,"absolut",Daten!$B$2:$B$281,2022),"")</f>
        <v>0.119942551489408</v>
      </c>
      <c r="C43" s="50" t="n">
        <f aca="false">COUNTIFS(Daten!$G$2:$G$281,"absolut",Daten!$B$2:$B$281,2022,Daten!$U$2:$U$281,"&gt;=0")</f>
        <v>25</v>
      </c>
      <c r="D43" s="19" t="n">
        <f aca="false">IFERROR(AVERAGEIFS(Daten!$Y$2:$Y$281,Daten!$B$2:$B$281,2022),"")</f>
        <v>0.0345769230769231</v>
      </c>
      <c r="E43" s="50" t="n">
        <f aca="false">COUNTIFS(Daten!$B$2:$B$281,2022,Daten!$Y$2:$Y$281,"&gt;=0")</f>
        <v>13</v>
      </c>
      <c r="F43" s="19" t="n">
        <f aca="false">IFERROR(AVERAGEIFS(Daten!$V$2:$V$281,Daten!$B$2:$B$281,2022),"")</f>
        <v>0.333333333333333</v>
      </c>
      <c r="G43" s="19" t="n">
        <f aca="false">IFERROR(AVERAGEIFS(Daten!$T$2:$T$281,Daten!$G$2:$G$281,"absolut",Daten!$B$2:$B$281,2022),"")</f>
        <v>0.00784827940176717</v>
      </c>
    </row>
    <row r="44" customFormat="false" ht="15" hidden="false" customHeight="true" outlineLevel="0" collapsed="false">
      <c r="A44" s="0" t="n">
        <v>2023</v>
      </c>
      <c r="B44" s="19" t="n">
        <f aca="false">IFERROR(AVERAGEIFS(Daten!$U$2:$U$281,Daten!$G$2:$G$281,"absolut",Daten!$B$2:$B$281,2023),"")</f>
        <v>0.217557536764144</v>
      </c>
      <c r="C44" s="50" t="n">
        <f aca="false">COUNTIFS(Daten!$G$2:$G$281,"absolut",Daten!$B$2:$B$281,2023,Daten!$U$2:$U$281,"&gt;=0")</f>
        <v>27</v>
      </c>
      <c r="D44" s="19" t="n">
        <f aca="false">IFERROR(AVERAGEIFS(Daten!$Y$2:$Y$281,Daten!$B$2:$B$281,2023),"")</f>
        <v>0.0200909090909091</v>
      </c>
      <c r="E44" s="50" t="n">
        <f aca="false">COUNTIFS(Daten!$B$2:$B$281,2023,Daten!$Y$2:$Y$281,"&gt;=0")</f>
        <v>11</v>
      </c>
      <c r="F44" s="19" t="n">
        <f aca="false">IFERROR(AVERAGEIFS(Daten!$V$2:$V$281,Daten!$B$2:$B$281,2023),"")</f>
        <v>0.375</v>
      </c>
      <c r="G44" s="19" t="n">
        <f aca="false">IFERROR(AVERAGEIFS(Daten!$T$2:$T$281,Daten!$G$2:$G$281,"absolut",Daten!$B$2:$B$281,2023),"")</f>
        <v>-0.138568987482221</v>
      </c>
    </row>
    <row r="45" customFormat="false" ht="15" hidden="false" customHeight="true" outlineLevel="0" collapsed="false">
      <c r="A45" s="0" t="n">
        <v>2024</v>
      </c>
      <c r="B45" s="19" t="n">
        <f aca="false">IFERROR(AVERAGEIFS(Daten!$U$2:$U$281,Daten!$G$2:$G$281,"absolut",Daten!$B$2:$B$281,2024),"")</f>
        <v>0.0742111354713715</v>
      </c>
      <c r="C45" s="50" t="n">
        <f aca="false">COUNTIFS(Daten!$G$2:$G$281,"absolut",Daten!$B$2:$B$281,2024,Daten!$U$2:$U$281,"&gt;=0")</f>
        <v>26</v>
      </c>
      <c r="D45" s="19" t="n">
        <f aca="false">IFERROR(AVERAGEIFS(Daten!$Y$2:$Y$281,Daten!$B$2:$B$281,2024),"")</f>
        <v>0.0243076923076923</v>
      </c>
      <c r="E45" s="50" t="n">
        <f aca="false">COUNTIFS(Daten!$B$2:$B$281,2024,Daten!$Y$2:$Y$281,"&gt;=0")</f>
        <v>13</v>
      </c>
      <c r="F45" s="19" t="n">
        <f aca="false">IFERROR(AVERAGEIFS(Daten!$V$2:$V$281,Daten!$B$2:$B$281,2024),"")</f>
        <v>0.333333333333333</v>
      </c>
      <c r="G45" s="19" t="n">
        <f aca="false">IFERROR(AVERAGEIFS(Daten!$T$2:$T$281,Daten!$G$2:$G$281,"absolut",Daten!$B$2:$B$281,2024),"")</f>
        <v>-0.012997236792701</v>
      </c>
    </row>
    <row r="47" customFormat="false" ht="15" hidden="false" customHeight="true" outlineLevel="0" collapsed="false">
      <c r="A47" s="46" t="s">
        <v>554</v>
      </c>
      <c r="B47" s="47"/>
      <c r="C47" s="47"/>
      <c r="D47" s="47"/>
      <c r="E47" s="47"/>
    </row>
    <row r="48" customFormat="false" ht="15" hidden="false" customHeight="true" outlineLevel="0" collapsed="false">
      <c r="A48" s="49" t="s">
        <v>151</v>
      </c>
      <c r="B48" s="49" t="s">
        <v>547</v>
      </c>
      <c r="C48" s="49" t="s">
        <v>548</v>
      </c>
      <c r="D48" s="49" t="s">
        <v>549</v>
      </c>
      <c r="E48" s="49" t="s">
        <v>548</v>
      </c>
      <c r="F48" s="49" t="s">
        <v>550</v>
      </c>
    </row>
    <row r="49" customFormat="false" ht="15" hidden="false" customHeight="true" outlineLevel="0" collapsed="false">
      <c r="A49" s="0" t="s">
        <v>34</v>
      </c>
      <c r="B49" s="19" t="n">
        <f aca="false">IFERROR(AVERAGEIFS(Daten!$U$2:$U$281,Daten!$G$2:$G$281,"absolut",Daten!$Z$2:$Z$281,"Automobile"),"")</f>
        <v>0.102612538786651</v>
      </c>
      <c r="C49" s="50" t="n">
        <f aca="false">COUNTIFS(Daten!$G$2:$G$281,"absolut",Daten!$Z$2:$Z$281,"Automobile",Daten!$U$2:$U$281,"&gt;=0")</f>
        <v>5</v>
      </c>
      <c r="D49" s="19" t="n">
        <f aca="false">IFERROR(AVERAGEIFS(Daten!$Y$2:$Y$281,Daten!$Z$2:$Z$281,"Automobile"),"")</f>
        <v>0.0153</v>
      </c>
      <c r="E49" s="50" t="n">
        <f aca="false">COUNTIFS(Daten!$Z$2:$Z$281,"Automobile",Daten!$Y$2:$Y$281,"&gt;=0")</f>
        <v>20</v>
      </c>
      <c r="F49" s="19" t="n">
        <f aca="false">IFERROR(AVERAGEIFS(Daten!$V$2:$V$281,Daten!$Z$2:$Z$281,"Automobile"),"")</f>
        <v>0.36</v>
      </c>
    </row>
    <row r="50" customFormat="false" ht="15" hidden="false" customHeight="true" outlineLevel="0" collapsed="false">
      <c r="A50" s="0" t="s">
        <v>49</v>
      </c>
      <c r="B50" s="19" t="n">
        <f aca="false">IFERROR(AVERAGEIFS(Daten!$U$2:$U$281,Daten!$G$2:$G$281,"absolut",Daten!$Z$2:$Z$281,"Banken"),"")</f>
        <v>0.014091454042921</v>
      </c>
      <c r="C50" s="50" t="n">
        <f aca="false">COUNTIFS(Daten!$G$2:$G$281,"absolut",Daten!$Z$2:$Z$281,"Banken",Daten!$U$2:$U$281,"&gt;=0")</f>
        <v>3</v>
      </c>
      <c r="D50" s="19" t="n">
        <f aca="false">IFERROR(AVERAGEIFS(Daten!$Y$2:$Y$281,Daten!$Z$2:$Z$281,"Banken"),"")</f>
        <v>0.014</v>
      </c>
      <c r="E50" s="50" t="n">
        <f aca="false">COUNTIFS(Daten!$Z$2:$Z$281,"Banken",Daten!$Y$2:$Y$281,"&gt;=0")</f>
        <v>1</v>
      </c>
      <c r="F50" s="19" t="n">
        <f aca="false">IFERROR(AVERAGEIFS(Daten!$V$2:$V$281,Daten!$Z$2:$Z$281,"Banken"),"")</f>
        <v>0.5</v>
      </c>
    </row>
    <row r="51" customFormat="false" ht="15" hidden="false" customHeight="true" outlineLevel="0" collapsed="false">
      <c r="A51" s="0" t="s">
        <v>79</v>
      </c>
      <c r="B51" s="19" t="n">
        <f aca="false">IFERROR(AVERAGEIFS(Daten!$U$2:$U$281,Daten!$G$2:$G$281,"absolut",Daten!$Z$2:$Z$281,"Bau"),"")</f>
        <v>0.0948773785985383</v>
      </c>
      <c r="C51" s="50" t="n">
        <f aca="false">COUNTIFS(Daten!$G$2:$G$281,"absolut",Daten!$Z$2:$Z$281,"Bau",Daten!$U$2:$U$281,"&gt;=0")</f>
        <v>2</v>
      </c>
      <c r="D51" s="19" t="str">
        <f aca="false">IFERROR(AVERAGEIFS(Daten!$Y$2:$Y$281,Daten!$Z$2:$Z$281,"Bau"),"")</f>
        <v/>
      </c>
      <c r="E51" s="50" t="n">
        <f aca="false">COUNTIFS(Daten!$Z$2:$Z$281,"Bau",Daten!$Y$2:$Y$281,"&gt;=0")</f>
        <v>0</v>
      </c>
      <c r="F51" s="19" t="n">
        <f aca="false">IFERROR(AVERAGEIFS(Daten!$V$2:$V$281,Daten!$Z$2:$Z$281,"Bau"),"")</f>
        <v>0.5</v>
      </c>
    </row>
    <row r="52" customFormat="false" ht="15" hidden="false" customHeight="true" outlineLevel="0" collapsed="false">
      <c r="A52" s="0" t="s">
        <v>20</v>
      </c>
      <c r="B52" s="19" t="n">
        <f aca="false">IFERROR(AVERAGEIFS(Daten!$U$2:$U$281,Daten!$G$2:$G$281,"absolut",Daten!$Z$2:$Z$281,"Chemie"),"")</f>
        <v>0.237557456868948</v>
      </c>
      <c r="C52" s="50" t="n">
        <f aca="false">COUNTIFS(Daten!$G$2:$G$281,"absolut",Daten!$Z$2:$Z$281,"Chemie",Daten!$U$2:$U$281,"&gt;=0")</f>
        <v>11</v>
      </c>
      <c r="D52" s="19" t="str">
        <f aca="false">IFERROR(AVERAGEIFS(Daten!$Y$2:$Y$281,Daten!$Z$2:$Z$281,"Chemie"),"")</f>
        <v/>
      </c>
      <c r="E52" s="50" t="n">
        <f aca="false">COUNTIFS(Daten!$Z$2:$Z$281,"Chemie",Daten!$Y$2:$Y$281,"&gt;=0")</f>
        <v>0</v>
      </c>
      <c r="F52" s="19" t="n">
        <f aca="false">IFERROR(AVERAGEIFS(Daten!$V$2:$V$281,Daten!$Z$2:$Z$281,"Chemie"),"")</f>
        <v>0.181818181818182</v>
      </c>
    </row>
    <row r="53" customFormat="false" ht="15" hidden="false" customHeight="true" outlineLevel="0" collapsed="false">
      <c r="A53" s="0" t="s">
        <v>55</v>
      </c>
      <c r="B53" s="19" t="n">
        <f aca="false">IFERROR(AVERAGEIFS(Daten!$U$2:$U$281,Daten!$G$2:$G$281,"absolut",Daten!$Z$2:$Z$281,"Finanzdienstleister"),"")</f>
        <v>0.0657764399668013</v>
      </c>
      <c r="C53" s="50" t="n">
        <f aca="false">COUNTIFS(Daten!$G$2:$G$281,"absolut",Daten!$Z$2:$Z$281,"Finanzdienstleister",Daten!$U$2:$U$281,"&gt;=0")</f>
        <v>9</v>
      </c>
      <c r="D53" s="19" t="str">
        <f aca="false">IFERROR(AVERAGEIFS(Daten!$Y$2:$Y$281,Daten!$Z$2:$Z$281,"Finanzdienstleister"),"")</f>
        <v/>
      </c>
      <c r="E53" s="50" t="n">
        <f aca="false">COUNTIFS(Daten!$Z$2:$Z$281,"Finanzdienstleister",Daten!$Y$2:$Y$281,"&gt;=0")</f>
        <v>0</v>
      </c>
      <c r="F53" s="19" t="n">
        <f aca="false">IFERROR(AVERAGEIFS(Daten!$V$2:$V$281,Daten!$Z$2:$Z$281,"Finanzdienstleister"),"")</f>
        <v>0</v>
      </c>
    </row>
    <row r="54" customFormat="false" ht="15" hidden="false" customHeight="true" outlineLevel="0" collapsed="false">
      <c r="A54" s="0" t="s">
        <v>123</v>
      </c>
      <c r="B54" s="19" t="n">
        <f aca="false">IFERROR(AVERAGEIFS(Daten!$U$2:$U$281,Daten!$G$2:$G$281,"absolut",Daten!$Z$2:$Z$281,"Immobilien"),"")</f>
        <v>0.0210881196633991</v>
      </c>
      <c r="C54" s="50" t="n">
        <f aca="false">COUNTIFS(Daten!$G$2:$G$281,"absolut",Daten!$Z$2:$Z$281,"Immobilien",Daten!$U$2:$U$281,"&gt;=0")</f>
        <v>9</v>
      </c>
      <c r="D54" s="19" t="str">
        <f aca="false">IFERROR(AVERAGEIFS(Daten!$Y$2:$Y$281,Daten!$Z$2:$Z$281,"Immobilien"),"")</f>
        <v/>
      </c>
      <c r="E54" s="50" t="n">
        <f aca="false">COUNTIFS(Daten!$Z$2:$Z$281,"Immobilien",Daten!$Y$2:$Y$281,"&gt;=0")</f>
        <v>0</v>
      </c>
      <c r="F54" s="19" t="n">
        <f aca="false">IFERROR(AVERAGEIFS(Daten!$V$2:$V$281,Daten!$Z$2:$Z$281,"Immobilien"),"")</f>
        <v>0.777777777777778</v>
      </c>
    </row>
    <row r="55" customFormat="false" ht="15" hidden="false" customHeight="true" outlineLevel="0" collapsed="false">
      <c r="A55" s="0" t="s">
        <v>99</v>
      </c>
      <c r="B55" s="19" t="n">
        <f aca="false">IFERROR(AVERAGEIFS(Daten!$U$2:$U$281,Daten!$G$2:$G$281,"absolut",Daten!$Z$2:$Z$281,"Industrie"),"")</f>
        <v>0.140408233941213</v>
      </c>
      <c r="C55" s="50" t="n">
        <f aca="false">COUNTIFS(Daten!$G$2:$G$281,"absolut",Daten!$Z$2:$Z$281,"Industrie",Daten!$U$2:$U$281,"&gt;=0")</f>
        <v>7</v>
      </c>
      <c r="D55" s="19" t="n">
        <f aca="false">IFERROR(AVERAGEIFS(Daten!$Y$2:$Y$281,Daten!$Z$2:$Z$281,"Industrie"),"")</f>
        <v>0.0248</v>
      </c>
      <c r="E55" s="50" t="n">
        <f aca="false">COUNTIFS(Daten!$Z$2:$Z$281,"Industrie",Daten!$Y$2:$Y$281,"&gt;=0")</f>
        <v>5</v>
      </c>
      <c r="F55" s="19" t="n">
        <f aca="false">IFERROR(AVERAGEIFS(Daten!$V$2:$V$281,Daten!$Z$2:$Z$281,"Industrie"),"")</f>
        <v>0.25</v>
      </c>
    </row>
    <row r="56" customFormat="false" ht="15" hidden="false" customHeight="true" outlineLevel="0" collapsed="false">
      <c r="A56" s="0" t="s">
        <v>9</v>
      </c>
      <c r="B56" s="19" t="n">
        <f aca="false">IFERROR(AVERAGEIFS(Daten!$U$2:$U$281,Daten!$G$2:$G$281,"absolut",Daten!$Z$2:$Z$281,"Konsumgueter"),"")</f>
        <v>2.1189843601737</v>
      </c>
      <c r="C56" s="50" t="n">
        <f aca="false">COUNTIFS(Daten!$G$2:$G$281,"absolut",Daten!$Z$2:$Z$281,"Konsumgueter",Daten!$U$2:$U$281,"&gt;=0")</f>
        <v>2</v>
      </c>
      <c r="D56" s="19" t="n">
        <f aca="false">IFERROR(AVERAGEIFS(Daten!$Y$2:$Y$281,Daten!$Z$2:$Z$281,"Konsumgueter"),"")</f>
        <v>0.0445</v>
      </c>
      <c r="E56" s="50" t="n">
        <f aca="false">COUNTIFS(Daten!$Z$2:$Z$281,"Konsumgueter",Daten!$Y$2:$Y$281,"&gt;=0")</f>
        <v>24</v>
      </c>
      <c r="F56" s="19" t="n">
        <f aca="false">IFERROR(AVERAGEIFS(Daten!$V$2:$V$281,Daten!$Z$2:$Z$281,"Konsumgueter"),"")</f>
        <v>0.19047619047619</v>
      </c>
    </row>
    <row r="57" customFormat="false" ht="15" hidden="false" customHeight="true" outlineLevel="0" collapsed="false">
      <c r="A57" s="0" t="s">
        <v>24</v>
      </c>
      <c r="B57" s="19" t="n">
        <f aca="false">IFERROR(AVERAGEIFS(Daten!$U$2:$U$281,Daten!$G$2:$G$281,"absolut",Daten!$Z$2:$Z$281,"Pharma &amp; Healthcare"),"")</f>
        <v>0.0624763613670694</v>
      </c>
      <c r="C57" s="50" t="n">
        <f aca="false">COUNTIFS(Daten!$G$2:$G$281,"absolut",Daten!$Z$2:$Z$281,"Pharma &amp; Healthcare",Daten!$U$2:$U$281,"&gt;=0")</f>
        <v>27</v>
      </c>
      <c r="D57" s="19" t="n">
        <f aca="false">IFERROR(AVERAGEIFS(Daten!$Y$2:$Y$281,Daten!$Z$2:$Z$281,"Pharma &amp; Healthcare"),"")</f>
        <v>0.011</v>
      </c>
      <c r="E57" s="50" t="n">
        <f aca="false">COUNTIFS(Daten!$Z$2:$Z$281,"Pharma &amp; Healthcare",Daten!$Y$2:$Y$281,"&gt;=0")</f>
        <v>2</v>
      </c>
      <c r="F57" s="19" t="n">
        <f aca="false">IFERROR(AVERAGEIFS(Daten!$V$2:$V$281,Daten!$Z$2:$Z$281,"Pharma &amp; Healthcare"),"")</f>
        <v>0.192307692307692</v>
      </c>
    </row>
    <row r="58" customFormat="false" ht="15" hidden="false" customHeight="true" outlineLevel="0" collapsed="false">
      <c r="A58" s="0" t="s">
        <v>87</v>
      </c>
      <c r="B58" s="19" t="n">
        <f aca="false">IFERROR(AVERAGEIFS(Daten!$U$2:$U$281,Daten!$G$2:$G$281,"absolut",Daten!$Z$2:$Z$281,"Technologie"),"")</f>
        <v>0.0516067017431216</v>
      </c>
      <c r="C58" s="50" t="n">
        <f aca="false">COUNTIFS(Daten!$G$2:$G$281,"absolut",Daten!$Z$2:$Z$281,"Technologie",Daten!$U$2:$U$281,"&gt;=0")</f>
        <v>14</v>
      </c>
      <c r="D58" s="19" t="n">
        <f aca="false">IFERROR(AVERAGEIFS(Daten!$Y$2:$Y$281,Daten!$Z$2:$Z$281,"Technologie"),"")</f>
        <v>0.028</v>
      </c>
      <c r="E58" s="50" t="n">
        <f aca="false">COUNTIFS(Daten!$Z$2:$Z$281,"Technologie",Daten!$Y$2:$Y$281,"&gt;=0")</f>
        <v>4</v>
      </c>
      <c r="F58" s="19" t="n">
        <f aca="false">IFERROR(AVERAGEIFS(Daten!$V$2:$V$281,Daten!$Z$2:$Z$281,"Technologie"),"")</f>
        <v>0.142857142857143</v>
      </c>
    </row>
    <row r="59" customFormat="false" ht="15" hidden="false" customHeight="true" outlineLevel="0" collapsed="false">
      <c r="A59" s="0" t="s">
        <v>64</v>
      </c>
      <c r="B59" s="19" t="n">
        <f aca="false">IFERROR(AVERAGEIFS(Daten!$U$2:$U$281,Daten!$G$2:$G$281,"absolut",Daten!$Z$2:$Z$281,"Telekommunikation"),"")</f>
        <v>0.0762488513337424</v>
      </c>
      <c r="C59" s="50" t="n">
        <f aca="false">COUNTIFS(Daten!$G$2:$G$281,"absolut",Daten!$Z$2:$Z$281,"Telekommunikation",Daten!$U$2:$U$281,"&gt;=0")</f>
        <v>5</v>
      </c>
      <c r="D59" s="19" t="str">
        <f aca="false">IFERROR(AVERAGEIFS(Daten!$Y$2:$Y$281,Daten!$Z$2:$Z$281,"Telekommunikation"),"")</f>
        <v/>
      </c>
      <c r="E59" s="50" t="n">
        <f aca="false">COUNTIFS(Daten!$Z$2:$Z$281,"Telekommunikation",Daten!$Y$2:$Y$281,"&gt;=0")</f>
        <v>0</v>
      </c>
      <c r="F59" s="19" t="str">
        <f aca="false">IFERROR(AVERAGEIFS(Daten!$V$2:$V$281,Daten!$Z$2:$Z$281,"Telekommunikation"),"")</f>
        <v/>
      </c>
    </row>
    <row r="60" customFormat="false" ht="15" hidden="false" customHeight="true" outlineLevel="0" collapsed="false">
      <c r="A60" s="0" t="s">
        <v>59</v>
      </c>
      <c r="B60" s="19" t="n">
        <f aca="false">IFERROR(AVERAGEIFS(Daten!$U$2:$U$281,Daten!$G$2:$G$281,"absolut",Daten!$Z$2:$Z$281,"Transport &amp; Logistik"),"")</f>
        <v>0.0977656712402475</v>
      </c>
      <c r="C60" s="50" t="n">
        <f aca="false">COUNTIFS(Daten!$G$2:$G$281,"absolut",Daten!$Z$2:$Z$281,"Transport &amp; Logistik",Daten!$U$2:$U$281,"&gt;=0")</f>
        <v>5</v>
      </c>
      <c r="D60" s="19" t="str">
        <f aca="false">IFERROR(AVERAGEIFS(Daten!$Y$2:$Y$281,Daten!$Z$2:$Z$281,"Transport &amp; Logistik"),"")</f>
        <v/>
      </c>
      <c r="E60" s="50" t="n">
        <f aca="false">COUNTIFS(Daten!$Z$2:$Z$281,"Transport &amp; Logistik",Daten!$Y$2:$Y$281,"&gt;=0")</f>
        <v>0</v>
      </c>
      <c r="F60" s="19" t="n">
        <f aca="false">IFERROR(AVERAGEIFS(Daten!$V$2:$V$281,Daten!$Z$2:$Z$281,"Transport &amp; Logistik"),"")</f>
        <v>0.666666666666667</v>
      </c>
    </row>
    <row r="61" customFormat="false" ht="15" hidden="false" customHeight="true" outlineLevel="0" collapsed="false">
      <c r="A61" s="0" t="s">
        <v>14</v>
      </c>
      <c r="B61" s="19" t="n">
        <f aca="false">IFERROR(AVERAGEIFS(Daten!$U$2:$U$281,Daten!$G$2:$G$281,"absolut",Daten!$Z$2:$Z$281,"Versicherungen"),"")</f>
        <v>0.177603015186935</v>
      </c>
      <c r="C61" s="50" t="n">
        <f aca="false">COUNTIFS(Daten!$G$2:$G$281,"absolut",Daten!$Z$2:$Z$281,"Versicherungen",Daten!$U$2:$U$281,"&gt;=0")</f>
        <v>10</v>
      </c>
      <c r="D61" s="19" t="n">
        <f aca="false">IFERROR(AVERAGEIFS(Daten!$Y$2:$Y$281,Daten!$Z$2:$Z$281,"Versicherungen"),"")</f>
        <v>0.0315</v>
      </c>
      <c r="E61" s="50" t="n">
        <f aca="false">COUNTIFS(Daten!$Z$2:$Z$281,"Versicherungen",Daten!$Y$2:$Y$281,"&gt;=0")</f>
        <v>2</v>
      </c>
      <c r="F61" s="19" t="n">
        <f aca="false">IFERROR(AVERAGEIFS(Daten!$V$2:$V$281,Daten!$Z$2:$Z$281,"Versicherungen"),"")</f>
        <v>0.4</v>
      </c>
    </row>
    <row r="62" customFormat="false" ht="15" hidden="false" customHeight="true" outlineLevel="0" collapsed="false">
      <c r="A62" s="0" t="s">
        <v>68</v>
      </c>
      <c r="B62" s="19" t="n">
        <f aca="false">IFERROR(AVERAGEIFS(Daten!$U$2:$U$281,Daten!$G$2:$G$281,"absolut",Daten!$Z$2:$Z$281,"Versorger"),"")</f>
        <v>0.148247558393021</v>
      </c>
      <c r="C62" s="50" t="n">
        <f aca="false">COUNTIFS(Daten!$G$2:$G$281,"absolut",Daten!$Z$2:$Z$281,"Versorger",Daten!$U$2:$U$281,"&gt;=0")</f>
        <v>10</v>
      </c>
      <c r="D62" s="19" t="str">
        <f aca="false">IFERROR(AVERAGEIFS(Daten!$Y$2:$Y$281,Daten!$Z$2:$Z$281,"Versorger"),"")</f>
        <v/>
      </c>
      <c r="E62" s="50" t="n">
        <f aca="false">COUNTIFS(Daten!$Z$2:$Z$281,"Versorger",Daten!$Y$2:$Y$281,"&gt;=0")</f>
        <v>0</v>
      </c>
      <c r="F62" s="19" t="n">
        <f aca="false">IFERROR(AVERAGEIFS(Daten!$V$2:$V$281,Daten!$Z$2:$Z$281,"Versorger"),"")</f>
        <v>0.2</v>
      </c>
    </row>
    <row r="64" customFormat="false" ht="15" hidden="false" customHeight="true" outlineLevel="0" collapsed="false">
      <c r="A64" s="46" t="s">
        <v>555</v>
      </c>
      <c r="B64" s="47"/>
      <c r="C64" s="47"/>
      <c r="D64" s="47"/>
      <c r="E64" s="47"/>
    </row>
    <row r="65" customFormat="false" ht="15" hidden="false" customHeight="true" outlineLevel="0" collapsed="false">
      <c r="A65" s="49" t="s">
        <v>556</v>
      </c>
      <c r="B65" s="49" t="s">
        <v>547</v>
      </c>
      <c r="C65" s="49" t="s">
        <v>548</v>
      </c>
      <c r="D65" s="49" t="s">
        <v>549</v>
      </c>
      <c r="E65" s="49" t="s">
        <v>548</v>
      </c>
      <c r="F65" s="49" t="s">
        <v>550</v>
      </c>
      <c r="G65" s="49" t="s">
        <v>557</v>
      </c>
    </row>
    <row r="66" customFormat="false" ht="15" hidden="false" customHeight="true" outlineLevel="0" collapsed="false">
      <c r="A66" s="0" t="s">
        <v>7</v>
      </c>
      <c r="B66" s="19" t="n">
        <f aca="false">IFERROR(AVERAGEIFS(Daten!$U$2:$U$281,Daten!$G$2:$G$281,"absolut",Daten!$A$2:$A$281,"ADS"),"")</f>
        <v>2.1189843601737</v>
      </c>
      <c r="C66" s="50" t="n">
        <f aca="false">COUNTIFS(Daten!$G$2:$G$281,"absolut",Daten!$A$2:$A$281,"ADS",Daten!$U$2:$U$281,"&gt;=0")</f>
        <v>2</v>
      </c>
      <c r="D66" s="19" t="n">
        <f aca="false">IFERROR(AVERAGEIFS(Daten!$Y$2:$Y$281,Daten!$A$2:$A$281,"ADS"),"")</f>
        <v>0.080875</v>
      </c>
      <c r="E66" s="50" t="n">
        <f aca="false">COUNTIFS(Daten!$A$2:$A$281,"ADS",Daten!$Y$2:$Y$281,"&gt;=0")</f>
        <v>8</v>
      </c>
      <c r="F66" s="19" t="n">
        <f aca="false">IFERROR(AVERAGEIFS(Daten!$V$2:$V$281,Daten!$A$2:$A$281,"ADS"),"")</f>
        <v>0.25</v>
      </c>
      <c r="G66" s="50" t="n">
        <f aca="false">COUNTIFS(Daten!$A$2:$A$281,"ADS",Daten!$F$2:$F$281,"qualitativ")+COUNTIFS(Daten!$A$2:$A$281,"ADS",Daten!$F$2:$F$281,"fehlend")</f>
        <v>0</v>
      </c>
    </row>
    <row r="67" customFormat="false" ht="15" hidden="false" customHeight="true" outlineLevel="0" collapsed="false">
      <c r="A67" s="0" t="s">
        <v>12</v>
      </c>
      <c r="B67" s="19" t="n">
        <f aca="false">IFERROR(AVERAGEIFS(Daten!$U$2:$U$281,Daten!$G$2:$G$281,"absolut",Daten!$A$2:$A$281,"ALV"),"")</f>
        <v>0.076721204397937</v>
      </c>
      <c r="C67" s="50" t="n">
        <f aca="false">COUNTIFS(Daten!$G$2:$G$281,"absolut",Daten!$A$2:$A$281,"ALV",Daten!$U$2:$U$281,"&gt;=0")</f>
        <v>5</v>
      </c>
      <c r="D67" s="19" t="n">
        <f aca="false">IFERROR(AVERAGEIFS(Daten!$Y$2:$Y$281,Daten!$A$2:$A$281,"ALV"),"")</f>
        <v>0.0315</v>
      </c>
      <c r="E67" s="50" t="n">
        <f aca="false">COUNTIFS(Daten!$A$2:$A$281,"ALV",Daten!$Y$2:$Y$281,"&gt;=0")</f>
        <v>2</v>
      </c>
      <c r="F67" s="19" t="n">
        <f aca="false">IFERROR(AVERAGEIFS(Daten!$V$2:$V$281,Daten!$A$2:$A$281,"ALV"),"")</f>
        <v>0.4</v>
      </c>
      <c r="G67" s="50" t="n">
        <f aca="false">COUNTIFS(Daten!$A$2:$A$281,"ALV",Daten!$F$2:$F$281,"qualitativ")+COUNTIFS(Daten!$A$2:$A$281,"ALV",Daten!$F$2:$F$281,"fehlend")</f>
        <v>3</v>
      </c>
    </row>
    <row r="68" customFormat="false" ht="15" hidden="false" customHeight="true" outlineLevel="0" collapsed="false">
      <c r="A68" s="0" t="s">
        <v>18</v>
      </c>
      <c r="B68" s="19" t="n">
        <f aca="false">IFERROR(AVERAGEIFS(Daten!$U$2:$U$281,Daten!$G$2:$G$281,"absolut",Daten!$A$2:$A$281,"BAS"),"")</f>
        <v>0.188736988063545</v>
      </c>
      <c r="C68" s="50" t="n">
        <f aca="false">COUNTIFS(Daten!$G$2:$G$281,"absolut",Daten!$A$2:$A$281,"BAS",Daten!$U$2:$U$281,"&gt;=0")</f>
        <v>9</v>
      </c>
      <c r="D68" s="19" t="str">
        <f aca="false">IFERROR(AVERAGEIFS(Daten!$Y$2:$Y$281,Daten!$A$2:$A$281,"BAS"),"")</f>
        <v/>
      </c>
      <c r="E68" s="50" t="n">
        <f aca="false">COUNTIFS(Daten!$A$2:$A$281,"BAS",Daten!$Y$2:$Y$281,"&gt;=0")</f>
        <v>0</v>
      </c>
      <c r="F68" s="19" t="n">
        <f aca="false">IFERROR(AVERAGEIFS(Daten!$V$2:$V$281,Daten!$A$2:$A$281,"BAS"),"")</f>
        <v>0.111111111111111</v>
      </c>
      <c r="G68" s="50" t="n">
        <f aca="false">COUNTIFS(Daten!$A$2:$A$281,"BAS",Daten!$F$2:$F$281,"qualitativ")+COUNTIFS(Daten!$A$2:$A$281,"BAS",Daten!$F$2:$F$281,"fehlend")</f>
        <v>1</v>
      </c>
    </row>
    <row r="69" customFormat="false" ht="15" hidden="false" customHeight="true" outlineLevel="0" collapsed="false">
      <c r="A69" s="0" t="s">
        <v>22</v>
      </c>
      <c r="B69" s="19" t="n">
        <f aca="false">IFERROR(AVERAGEIFS(Daten!$U$2:$U$281,Daten!$G$2:$G$281,"absolut",Daten!$A$2:$A$281,"BAYN"),"")</f>
        <v>0.0631469193465754</v>
      </c>
      <c r="C69" s="50" t="n">
        <f aca="false">COUNTIFS(Daten!$G$2:$G$281,"absolut",Daten!$A$2:$A$281,"BAYN",Daten!$U$2:$U$281,"&gt;=0")</f>
        <v>8</v>
      </c>
      <c r="D69" s="19" t="n">
        <f aca="false">IFERROR(AVERAGEIFS(Daten!$Y$2:$Y$281,Daten!$A$2:$A$281,"BAYN"),"")</f>
        <v>0.011</v>
      </c>
      <c r="E69" s="50" t="n">
        <f aca="false">COUNTIFS(Daten!$A$2:$A$281,"BAYN",Daten!$Y$2:$Y$281,"&gt;=0")</f>
        <v>2</v>
      </c>
      <c r="F69" s="19" t="n">
        <f aca="false">IFERROR(AVERAGEIFS(Daten!$V$2:$V$281,Daten!$A$2:$A$281,"BAYN"),"")</f>
        <v>0.142857142857143</v>
      </c>
      <c r="G69" s="50" t="n">
        <f aca="false">COUNTIFS(Daten!$A$2:$A$281,"BAYN",Daten!$F$2:$F$281,"qualitativ")+COUNTIFS(Daten!$A$2:$A$281,"BAYN",Daten!$F$2:$F$281,"fehlend")</f>
        <v>0</v>
      </c>
    </row>
    <row r="70" customFormat="false" ht="15" hidden="false" customHeight="true" outlineLevel="0" collapsed="false">
      <c r="A70" s="0" t="s">
        <v>27</v>
      </c>
      <c r="B70" s="19" t="str">
        <f aca="false">IFERROR(AVERAGEIFS(Daten!$U$2:$U$281,Daten!$G$2:$G$281,"absolut",Daten!$A$2:$A$281,"BEI"),"")</f>
        <v/>
      </c>
      <c r="C70" s="50" t="n">
        <f aca="false">COUNTIFS(Daten!$G$2:$G$281,"absolut",Daten!$A$2:$A$281,"BEI",Daten!$U$2:$U$281,"&gt;=0")</f>
        <v>0</v>
      </c>
      <c r="D70" s="19" t="n">
        <f aca="false">IFERROR(AVERAGEIFS(Daten!$Y$2:$Y$281,Daten!$A$2:$A$281,"BEI"),"")</f>
        <v>0.0349166666666667</v>
      </c>
      <c r="E70" s="50" t="n">
        <f aca="false">COUNTIFS(Daten!$A$2:$A$281,"BEI",Daten!$Y$2:$Y$281,"&gt;=0")</f>
        <v>6</v>
      </c>
      <c r="F70" s="19" t="n">
        <f aca="false">IFERROR(AVERAGEIFS(Daten!$V$2:$V$281,Daten!$A$2:$A$281,"BEI"),"")</f>
        <v>0</v>
      </c>
      <c r="G70" s="50" t="n">
        <f aca="false">COUNTIFS(Daten!$A$2:$A$281,"BEI",Daten!$F$2:$F$281,"qualitativ")+COUNTIFS(Daten!$A$2:$A$281,"BEI",Daten!$F$2:$F$281,"fehlend")</f>
        <v>4</v>
      </c>
    </row>
    <row r="71" customFormat="false" ht="15" hidden="false" customHeight="true" outlineLevel="0" collapsed="false">
      <c r="A71" s="0" t="s">
        <v>32</v>
      </c>
      <c r="B71" s="19" t="str">
        <f aca="false">IFERROR(AVERAGEIFS(Daten!$U$2:$U$281,Daten!$G$2:$G$281,"absolut",Daten!$A$2:$A$281,"BMW"),"")</f>
        <v/>
      </c>
      <c r="C71" s="50" t="n">
        <f aca="false">COUNTIFS(Daten!$G$2:$G$281,"absolut",Daten!$A$2:$A$281,"BMW",Daten!$U$2:$U$281,"&gt;=0")</f>
        <v>0</v>
      </c>
      <c r="D71" s="19" t="n">
        <f aca="false">IFERROR(AVERAGEIFS(Daten!$Y$2:$Y$281,Daten!$A$2:$A$281,"BMW"),"")</f>
        <v>0.0154</v>
      </c>
      <c r="E71" s="50" t="n">
        <f aca="false">COUNTIFS(Daten!$A$2:$A$281,"BMW",Daten!$Y$2:$Y$281,"&gt;=0")</f>
        <v>5</v>
      </c>
      <c r="F71" s="19" t="n">
        <f aca="false">IFERROR(AVERAGEIFS(Daten!$V$2:$V$281,Daten!$A$2:$A$281,"BMW"),"")</f>
        <v>0.6</v>
      </c>
      <c r="G71" s="50" t="n">
        <f aca="false">COUNTIFS(Daten!$A$2:$A$281,"BMW",Daten!$F$2:$F$281,"qualitativ")+COUNTIFS(Daten!$A$2:$A$281,"BMW",Daten!$F$2:$F$281,"fehlend")</f>
        <v>5</v>
      </c>
    </row>
    <row r="72" customFormat="false" ht="15" hidden="false" customHeight="true" outlineLevel="0" collapsed="false">
      <c r="A72" s="0" t="s">
        <v>38</v>
      </c>
      <c r="B72" s="19" t="n">
        <f aca="false">IFERROR(AVERAGEIFS(Daten!$U$2:$U$281,Daten!$G$2:$G$281,"absolut",Daten!$A$2:$A$281,"CON"),"")</f>
        <v>0.102612538786651</v>
      </c>
      <c r="C72" s="50" t="n">
        <f aca="false">COUNTIFS(Daten!$G$2:$G$281,"absolut",Daten!$A$2:$A$281,"CON",Daten!$U$2:$U$281,"&gt;=0")</f>
        <v>5</v>
      </c>
      <c r="D72" s="19" t="n">
        <f aca="false">IFERROR(AVERAGEIFS(Daten!$Y$2:$Y$281,Daten!$A$2:$A$281,"CON"),"")</f>
        <v>0.008</v>
      </c>
      <c r="E72" s="50" t="n">
        <f aca="false">COUNTIFS(Daten!$A$2:$A$281,"CON",Daten!$Y$2:$Y$281,"&gt;=0")</f>
        <v>5</v>
      </c>
      <c r="F72" s="19" t="n">
        <f aca="false">IFERROR(AVERAGEIFS(Daten!$V$2:$V$281,Daten!$A$2:$A$281,"CON"),"")</f>
        <v>0.4</v>
      </c>
      <c r="G72" s="50" t="n">
        <f aca="false">COUNTIFS(Daten!$A$2:$A$281,"CON",Daten!$F$2:$F$281,"qualitativ")+COUNTIFS(Daten!$A$2:$A$281,"CON",Daten!$F$2:$F$281,"fehlend")</f>
        <v>0</v>
      </c>
    </row>
    <row r="73" customFormat="false" ht="15" hidden="false" customHeight="true" outlineLevel="0" collapsed="false">
      <c r="A73" s="0" t="s">
        <v>40</v>
      </c>
      <c r="B73" s="19" t="n">
        <f aca="false">IFERROR(AVERAGEIFS(Daten!$U$2:$U$281,Daten!$G$2:$G$281,"absolut",Daten!$A$2:$A$281,"1COV"),"")</f>
        <v>0.457249566493264</v>
      </c>
      <c r="C73" s="50" t="n">
        <f aca="false">COUNTIFS(Daten!$G$2:$G$281,"absolut",Daten!$A$2:$A$281,"1COV",Daten!$U$2:$U$281,"&gt;=0")</f>
        <v>2</v>
      </c>
      <c r="D73" s="19" t="str">
        <f aca="false">IFERROR(AVERAGEIFS(Daten!$Y$2:$Y$281,Daten!$A$2:$A$281,"1COV"),"")</f>
        <v/>
      </c>
      <c r="E73" s="50" t="n">
        <f aca="false">COUNTIFS(Daten!$A$2:$A$281,"1COV",Daten!$Y$2:$Y$281,"&gt;=0")</f>
        <v>0</v>
      </c>
      <c r="F73" s="19" t="n">
        <f aca="false">IFERROR(AVERAGEIFS(Daten!$V$2:$V$281,Daten!$A$2:$A$281,"1COV"),"")</f>
        <v>0.5</v>
      </c>
      <c r="G73" s="50" t="n">
        <f aca="false">COUNTIFS(Daten!$A$2:$A$281,"1COV",Daten!$F$2:$F$281,"qualitativ")+COUNTIFS(Daten!$A$2:$A$281,"1COV",Daten!$F$2:$F$281,"fehlend")</f>
        <v>8</v>
      </c>
    </row>
    <row r="74" customFormat="false" ht="15" hidden="false" customHeight="true" outlineLevel="0" collapsed="false">
      <c r="A74" s="0" t="s">
        <v>43</v>
      </c>
      <c r="B74" s="19" t="str">
        <f aca="false">IFERROR(AVERAGEIFS(Daten!$U$2:$U$281,Daten!$G$2:$G$281,"absolut",Daten!$A$2:$A$281,"DAI"),"")</f>
        <v/>
      </c>
      <c r="C74" s="50" t="n">
        <f aca="false">COUNTIFS(Daten!$G$2:$G$281,"absolut",Daten!$A$2:$A$281,"DAI",Daten!$U$2:$U$281,"&gt;=0")</f>
        <v>0</v>
      </c>
      <c r="D74" s="19" t="n">
        <f aca="false">IFERROR(AVERAGEIFS(Daten!$Y$2:$Y$281,Daten!$A$2:$A$281,"DAI"),"")</f>
        <v>0.0235</v>
      </c>
      <c r="E74" s="50" t="n">
        <f aca="false">COUNTIFS(Daten!$A$2:$A$281,"DAI",Daten!$Y$2:$Y$281,"&gt;=0")</f>
        <v>5</v>
      </c>
      <c r="F74" s="19" t="n">
        <f aca="false">IFERROR(AVERAGEIFS(Daten!$V$2:$V$281,Daten!$A$2:$A$281,"DAI"),"")</f>
        <v>0.2</v>
      </c>
      <c r="G74" s="50" t="n">
        <f aca="false">COUNTIFS(Daten!$A$2:$A$281,"DAI",Daten!$F$2:$F$281,"qualitativ")+COUNTIFS(Daten!$A$2:$A$281,"DAI",Daten!$F$2:$F$281,"fehlend")</f>
        <v>5</v>
      </c>
    </row>
    <row r="75" customFormat="false" ht="15" hidden="false" customHeight="true" outlineLevel="0" collapsed="false">
      <c r="A75" s="0" t="s">
        <v>47</v>
      </c>
      <c r="B75" s="19" t="n">
        <f aca="false">IFERROR(AVERAGEIFS(Daten!$U$2:$U$281,Daten!$G$2:$G$281,"absolut",Daten!$A$2:$A$281,"DBK"),"")</f>
        <v>0.014091454042921</v>
      </c>
      <c r="C75" s="50" t="n">
        <f aca="false">COUNTIFS(Daten!$G$2:$G$281,"absolut",Daten!$A$2:$A$281,"DBK",Daten!$U$2:$U$281,"&gt;=0")</f>
        <v>3</v>
      </c>
      <c r="D75" s="19" t="n">
        <f aca="false">IFERROR(AVERAGEIFS(Daten!$Y$2:$Y$281,Daten!$A$2:$A$281,"DBK"),"")</f>
        <v>0.014</v>
      </c>
      <c r="E75" s="50" t="n">
        <f aca="false">COUNTIFS(Daten!$A$2:$A$281,"DBK",Daten!$Y$2:$Y$281,"&gt;=0")</f>
        <v>1</v>
      </c>
      <c r="F75" s="19" t="n">
        <f aca="false">IFERROR(AVERAGEIFS(Daten!$V$2:$V$281,Daten!$A$2:$A$281,"DBK"),"")</f>
        <v>0.5</v>
      </c>
      <c r="G75" s="50" t="n">
        <f aca="false">COUNTIFS(Daten!$A$2:$A$281,"DBK",Daten!$F$2:$F$281,"qualitativ")+COUNTIFS(Daten!$A$2:$A$281,"DBK",Daten!$F$2:$F$281,"fehlend")</f>
        <v>6</v>
      </c>
    </row>
    <row r="76" customFormat="false" ht="15" hidden="false" customHeight="true" outlineLevel="0" collapsed="false">
      <c r="A76" s="0" t="s">
        <v>53</v>
      </c>
      <c r="B76" s="19" t="n">
        <f aca="false">IFERROR(AVERAGEIFS(Daten!$U$2:$U$281,Daten!$G$2:$G$281,"absolut",Daten!$A$2:$A$281,"DB1"),"")</f>
        <v>0.0657764399668013</v>
      </c>
      <c r="C76" s="50" t="n">
        <f aca="false">COUNTIFS(Daten!$G$2:$G$281,"absolut",Daten!$A$2:$A$281,"DB1",Daten!$U$2:$U$281,"&gt;=0")</f>
        <v>9</v>
      </c>
      <c r="D76" s="19" t="str">
        <f aca="false">IFERROR(AVERAGEIFS(Daten!$Y$2:$Y$281,Daten!$A$2:$A$281,"DB1"),"")</f>
        <v/>
      </c>
      <c r="E76" s="50" t="n">
        <f aca="false">COUNTIFS(Daten!$A$2:$A$281,"DB1",Daten!$Y$2:$Y$281,"&gt;=0")</f>
        <v>0</v>
      </c>
      <c r="F76" s="19" t="n">
        <f aca="false">IFERROR(AVERAGEIFS(Daten!$V$2:$V$281,Daten!$A$2:$A$281,"DB1"),"")</f>
        <v>0</v>
      </c>
      <c r="G76" s="50" t="n">
        <f aca="false">COUNTIFS(Daten!$A$2:$A$281,"DB1",Daten!$F$2:$F$281,"qualitativ")+COUNTIFS(Daten!$A$2:$A$281,"DB1",Daten!$F$2:$F$281,"fehlend")</f>
        <v>1</v>
      </c>
    </row>
    <row r="77" customFormat="false" ht="15" hidden="false" customHeight="true" outlineLevel="0" collapsed="false">
      <c r="A77" s="0" t="s">
        <v>57</v>
      </c>
      <c r="B77" s="19" t="n">
        <f aca="false">IFERROR(AVERAGEIFS(Daten!$U$2:$U$281,Daten!$G$2:$G$281,"absolut",Daten!$A$2:$A$281,"DPW"),"")</f>
        <v>0.0977656712402475</v>
      </c>
      <c r="C77" s="50" t="n">
        <f aca="false">COUNTIFS(Daten!$G$2:$G$281,"absolut",Daten!$A$2:$A$281,"DPW",Daten!$U$2:$U$281,"&gt;=0")</f>
        <v>5</v>
      </c>
      <c r="D77" s="19" t="str">
        <f aca="false">IFERROR(AVERAGEIFS(Daten!$Y$2:$Y$281,Daten!$A$2:$A$281,"DPW"),"")</f>
        <v/>
      </c>
      <c r="E77" s="50" t="n">
        <f aca="false">COUNTIFS(Daten!$A$2:$A$281,"DPW",Daten!$Y$2:$Y$281,"&gt;=0")</f>
        <v>0</v>
      </c>
      <c r="F77" s="19" t="n">
        <f aca="false">IFERROR(AVERAGEIFS(Daten!$V$2:$V$281,Daten!$A$2:$A$281,"DPW"),"")</f>
        <v>0.666666666666667</v>
      </c>
      <c r="G77" s="50" t="n">
        <f aca="false">COUNTIFS(Daten!$A$2:$A$281,"DPW",Daten!$F$2:$F$281,"qualitativ")+COUNTIFS(Daten!$A$2:$A$281,"DPW",Daten!$F$2:$F$281,"fehlend")</f>
        <v>5</v>
      </c>
    </row>
    <row r="78" customFormat="false" ht="15" hidden="false" customHeight="true" outlineLevel="0" collapsed="false">
      <c r="A78" s="0" t="s">
        <v>62</v>
      </c>
      <c r="B78" s="19" t="n">
        <f aca="false">IFERROR(AVERAGEIFS(Daten!$U$2:$U$281,Daten!$G$2:$G$281,"absolut",Daten!$A$2:$A$281,"DTE"),"")</f>
        <v>0.0762488513337424</v>
      </c>
      <c r="C78" s="50" t="n">
        <f aca="false">COUNTIFS(Daten!$G$2:$G$281,"absolut",Daten!$A$2:$A$281,"DTE",Daten!$U$2:$U$281,"&gt;=0")</f>
        <v>5</v>
      </c>
      <c r="D78" s="19" t="str">
        <f aca="false">IFERROR(AVERAGEIFS(Daten!$Y$2:$Y$281,Daten!$A$2:$A$281,"DTE"),"")</f>
        <v/>
      </c>
      <c r="E78" s="50" t="n">
        <f aca="false">COUNTIFS(Daten!$A$2:$A$281,"DTE",Daten!$Y$2:$Y$281,"&gt;=0")</f>
        <v>0</v>
      </c>
      <c r="F78" s="19" t="str">
        <f aca="false">IFERROR(AVERAGEIFS(Daten!$V$2:$V$281,Daten!$A$2:$A$281,"DTE"),"")</f>
        <v/>
      </c>
      <c r="G78" s="50" t="n">
        <f aca="false">COUNTIFS(Daten!$A$2:$A$281,"DTE",Daten!$F$2:$F$281,"qualitativ")+COUNTIFS(Daten!$A$2:$A$281,"DTE",Daten!$F$2:$F$281,"fehlend")</f>
        <v>5</v>
      </c>
    </row>
    <row r="79" customFormat="false" ht="15" hidden="false" customHeight="true" outlineLevel="0" collapsed="false">
      <c r="A79" s="0" t="s">
        <v>66</v>
      </c>
      <c r="B79" s="19" t="n">
        <f aca="false">IFERROR(AVERAGEIFS(Daten!$U$2:$U$281,Daten!$G$2:$G$281,"absolut",Daten!$A$2:$A$281,"EOAN"),"")</f>
        <v>0.0885825280300831</v>
      </c>
      <c r="C79" s="50" t="n">
        <f aca="false">COUNTIFS(Daten!$G$2:$G$281,"absolut",Daten!$A$2:$A$281,"EOAN",Daten!$U$2:$U$281,"&gt;=0")</f>
        <v>5</v>
      </c>
      <c r="D79" s="19" t="str">
        <f aca="false">IFERROR(AVERAGEIFS(Daten!$Y$2:$Y$281,Daten!$A$2:$A$281,"EOAN"),"")</f>
        <v/>
      </c>
      <c r="E79" s="50" t="n">
        <f aca="false">COUNTIFS(Daten!$A$2:$A$281,"EOAN",Daten!$Y$2:$Y$281,"&gt;=0")</f>
        <v>0</v>
      </c>
      <c r="F79" s="19" t="n">
        <f aca="false">IFERROR(AVERAGEIFS(Daten!$V$2:$V$281,Daten!$A$2:$A$281,"EOAN"),"")</f>
        <v>0.2</v>
      </c>
      <c r="G79" s="50" t="n">
        <f aca="false">COUNTIFS(Daten!$A$2:$A$281,"EOAN",Daten!$F$2:$F$281,"qualitativ")+COUNTIFS(Daten!$A$2:$A$281,"EOAN",Daten!$F$2:$F$281,"fehlend")</f>
        <v>5</v>
      </c>
    </row>
    <row r="80" customFormat="false" ht="15" hidden="false" customHeight="true" outlineLevel="0" collapsed="false">
      <c r="A80" s="0" t="s">
        <v>71</v>
      </c>
      <c r="B80" s="19" t="n">
        <f aca="false">IFERROR(AVERAGEIFS(Daten!$U$2:$U$281,Daten!$G$2:$G$281,"absolut",Daten!$A$2:$A$281,"FRE"),"")</f>
        <v>0.0411091900098874</v>
      </c>
      <c r="C80" s="50" t="n">
        <f aca="false">COUNTIFS(Daten!$G$2:$G$281,"absolut",Daten!$A$2:$A$281,"FRE",Daten!$U$2:$U$281,"&gt;=0")</f>
        <v>9</v>
      </c>
      <c r="D80" s="19" t="str">
        <f aca="false">IFERROR(AVERAGEIFS(Daten!$Y$2:$Y$281,Daten!$A$2:$A$281,"FRE"),"")</f>
        <v/>
      </c>
      <c r="E80" s="50" t="n">
        <f aca="false">COUNTIFS(Daten!$A$2:$A$281,"FRE",Daten!$Y$2:$Y$281,"&gt;=0")</f>
        <v>0</v>
      </c>
      <c r="F80" s="19" t="n">
        <f aca="false">IFERROR(AVERAGEIFS(Daten!$V$2:$V$281,Daten!$A$2:$A$281,"FRE"),"")</f>
        <v>0.222222222222222</v>
      </c>
      <c r="G80" s="50" t="n">
        <f aca="false">COUNTIFS(Daten!$A$2:$A$281,"FRE",Daten!$F$2:$F$281,"qualitativ")+COUNTIFS(Daten!$A$2:$A$281,"FRE",Daten!$F$2:$F$281,"fehlend")</f>
        <v>1</v>
      </c>
    </row>
    <row r="81" customFormat="false" ht="15" hidden="false" customHeight="true" outlineLevel="0" collapsed="false">
      <c r="A81" s="0" t="s">
        <v>75</v>
      </c>
      <c r="B81" s="19" t="n">
        <f aca="false">IFERROR(AVERAGEIFS(Daten!$U$2:$U$281,Daten!$G$2:$G$281,"absolut",Daten!$A$2:$A$281,"FME"),"")</f>
        <v>0.0811703692049285</v>
      </c>
      <c r="C81" s="50" t="n">
        <f aca="false">COUNTIFS(Daten!$G$2:$G$281,"absolut",Daten!$A$2:$A$281,"FME",Daten!$U$2:$U$281,"&gt;=0")</f>
        <v>10</v>
      </c>
      <c r="D81" s="19" t="str">
        <f aca="false">IFERROR(AVERAGEIFS(Daten!$Y$2:$Y$281,Daten!$A$2:$A$281,"FME"),"")</f>
        <v/>
      </c>
      <c r="E81" s="50" t="n">
        <f aca="false">COUNTIFS(Daten!$A$2:$A$281,"FME",Daten!$Y$2:$Y$281,"&gt;=0")</f>
        <v>0</v>
      </c>
      <c r="F81" s="19" t="n">
        <f aca="false">IFERROR(AVERAGEIFS(Daten!$V$2:$V$281,Daten!$A$2:$A$281,"FME"),"")</f>
        <v>0.2</v>
      </c>
      <c r="G81" s="50" t="n">
        <f aca="false">COUNTIFS(Daten!$A$2:$A$281,"FME",Daten!$F$2:$F$281,"qualitativ")+COUNTIFS(Daten!$A$2:$A$281,"FME",Daten!$F$2:$F$281,"fehlend")</f>
        <v>0</v>
      </c>
    </row>
    <row r="82" customFormat="false" ht="15" hidden="false" customHeight="true" outlineLevel="0" collapsed="false">
      <c r="A82" s="0" t="s">
        <v>77</v>
      </c>
      <c r="B82" s="19" t="n">
        <f aca="false">IFERROR(AVERAGEIFS(Daten!$U$2:$U$281,Daten!$G$2:$G$281,"absolut",Daten!$A$2:$A$281,"HEI"),"")</f>
        <v>0.0948773785985383</v>
      </c>
      <c r="C82" s="50" t="n">
        <f aca="false">COUNTIFS(Daten!$G$2:$G$281,"absolut",Daten!$A$2:$A$281,"HEI",Daten!$U$2:$U$281,"&gt;=0")</f>
        <v>2</v>
      </c>
      <c r="D82" s="19" t="str">
        <f aca="false">IFERROR(AVERAGEIFS(Daten!$Y$2:$Y$281,Daten!$A$2:$A$281,"HEI"),"")</f>
        <v/>
      </c>
      <c r="E82" s="50" t="n">
        <f aca="false">COUNTIFS(Daten!$A$2:$A$281,"HEI",Daten!$Y$2:$Y$281,"&gt;=0")</f>
        <v>0</v>
      </c>
      <c r="F82" s="19" t="n">
        <f aca="false">IFERROR(AVERAGEIFS(Daten!$V$2:$V$281,Daten!$A$2:$A$281,"HEI"),"")</f>
        <v>0.5</v>
      </c>
      <c r="G82" s="50" t="n">
        <f aca="false">COUNTIFS(Daten!$A$2:$A$281,"HEI",Daten!$F$2:$F$281,"qualitativ")+COUNTIFS(Daten!$A$2:$A$281,"HEI",Daten!$F$2:$F$281,"fehlend")</f>
        <v>8</v>
      </c>
    </row>
    <row r="83" customFormat="false" ht="15" hidden="false" customHeight="true" outlineLevel="0" collapsed="false">
      <c r="A83" s="0" t="s">
        <v>81</v>
      </c>
      <c r="B83" s="19" t="str">
        <f aca="false">IFERROR(AVERAGEIFS(Daten!$U$2:$U$281,Daten!$G$2:$G$281,"absolut",Daten!$A$2:$A$281,"HEN3"),"")</f>
        <v/>
      </c>
      <c r="C83" s="50" t="n">
        <f aca="false">COUNTIFS(Daten!$G$2:$G$281,"absolut",Daten!$A$2:$A$281,"HEN3",Daten!$U$2:$U$281,"&gt;=0")</f>
        <v>0</v>
      </c>
      <c r="D83" s="19" t="n">
        <f aca="false">IFERROR(AVERAGEIFS(Daten!$Y$2:$Y$281,Daten!$A$2:$A$281,"HEN3"),"")</f>
        <v>0.02115</v>
      </c>
      <c r="E83" s="50" t="n">
        <f aca="false">COUNTIFS(Daten!$A$2:$A$281,"HEN3",Daten!$Y$2:$Y$281,"&gt;=0")</f>
        <v>10</v>
      </c>
      <c r="F83" s="19" t="n">
        <f aca="false">IFERROR(AVERAGEIFS(Daten!$V$2:$V$281,Daten!$A$2:$A$281,"HEN3"),"")</f>
        <v>0.222222222222222</v>
      </c>
      <c r="G83" s="50" t="n">
        <f aca="false">COUNTIFS(Daten!$A$2:$A$281,"HEN3",Daten!$F$2:$F$281,"qualitativ")+COUNTIFS(Daten!$A$2:$A$281,"HEN3",Daten!$F$2:$F$281,"fehlend")</f>
        <v>0</v>
      </c>
    </row>
    <row r="84" customFormat="false" ht="15" hidden="false" customHeight="true" outlineLevel="0" collapsed="false">
      <c r="A84" s="0" t="s">
        <v>85</v>
      </c>
      <c r="B84" s="19" t="n">
        <f aca="false">IFERROR(AVERAGEIFS(Daten!$U$2:$U$281,Daten!$G$2:$G$281,"absolut",Daten!$A$2:$A$281,"IFX"),"")</f>
        <v>0.0859367648602159</v>
      </c>
      <c r="C84" s="50" t="n">
        <f aca="false">COUNTIFS(Daten!$G$2:$G$281,"absolut",Daten!$A$2:$A$281,"IFX",Daten!$U$2:$U$281,"&gt;=0")</f>
        <v>4</v>
      </c>
      <c r="D84" s="19" t="n">
        <f aca="false">IFERROR(AVERAGEIFS(Daten!$Y$2:$Y$281,Daten!$A$2:$A$281,"IFX"),"")</f>
        <v>0.028</v>
      </c>
      <c r="E84" s="50" t="n">
        <f aca="false">COUNTIFS(Daten!$A$2:$A$281,"IFX",Daten!$Y$2:$Y$281,"&gt;=0")</f>
        <v>4</v>
      </c>
      <c r="F84" s="19" t="n">
        <f aca="false">IFERROR(AVERAGEIFS(Daten!$V$2:$V$281,Daten!$A$2:$A$281,"IFX"),"")</f>
        <v>0</v>
      </c>
      <c r="G84" s="50" t="n">
        <f aca="false">COUNTIFS(Daten!$A$2:$A$281,"IFX",Daten!$F$2:$F$281,"qualitativ")+COUNTIFS(Daten!$A$2:$A$281,"IFX",Daten!$F$2:$F$281,"fehlend")</f>
        <v>2</v>
      </c>
    </row>
    <row r="85" customFormat="false" ht="15" hidden="false" customHeight="true" outlineLevel="0" collapsed="false">
      <c r="A85" s="0" t="s">
        <v>91</v>
      </c>
      <c r="B85" s="19" t="str">
        <f aca="false">IFERROR(AVERAGEIFS(Daten!$U$2:$U$281,Daten!$G$2:$G$281,"absolut",Daten!$A$2:$A$281,"LHA"),"")</f>
        <v/>
      </c>
      <c r="C85" s="50" t="n">
        <f aca="false">COUNTIFS(Daten!$G$2:$G$281,"absolut",Daten!$A$2:$A$281,"LHA",Daten!$U$2:$U$281,"&gt;=0")</f>
        <v>0</v>
      </c>
      <c r="D85" s="19" t="str">
        <f aca="false">IFERROR(AVERAGEIFS(Daten!$Y$2:$Y$281,Daten!$A$2:$A$281,"LHA"),"")</f>
        <v/>
      </c>
      <c r="E85" s="50" t="n">
        <f aca="false">COUNTIFS(Daten!$A$2:$A$281,"LHA",Daten!$Y$2:$Y$281,"&gt;=0")</f>
        <v>0</v>
      </c>
      <c r="F85" s="19" t="str">
        <f aca="false">IFERROR(AVERAGEIFS(Daten!$V$2:$V$281,Daten!$A$2:$A$281,"LHA"),"")</f>
        <v/>
      </c>
      <c r="G85" s="50" t="n">
        <f aca="false">COUNTIFS(Daten!$A$2:$A$281,"LHA",Daten!$F$2:$F$281,"qualitativ")+COUNTIFS(Daten!$A$2:$A$281,"LHA",Daten!$F$2:$F$281,"fehlend")</f>
        <v>10</v>
      </c>
    </row>
    <row r="86" customFormat="false" ht="15" hidden="false" customHeight="true" outlineLevel="0" collapsed="false">
      <c r="A86" s="0" t="s">
        <v>94</v>
      </c>
      <c r="B86" s="19" t="str">
        <f aca="false">IFERROR(AVERAGEIFS(Daten!$U$2:$U$281,Daten!$G$2:$G$281,"absolut",Daten!$A$2:$A$281,"MRK"),"")</f>
        <v/>
      </c>
      <c r="C86" s="50" t="n">
        <f aca="false">COUNTIFS(Daten!$G$2:$G$281,"absolut",Daten!$A$2:$A$281,"MRK",Daten!$U$2:$U$281,"&gt;=0")</f>
        <v>0</v>
      </c>
      <c r="D86" s="19" t="str">
        <f aca="false">IFERROR(AVERAGEIFS(Daten!$Y$2:$Y$281,Daten!$A$2:$A$281,"MRK"),"")</f>
        <v/>
      </c>
      <c r="E86" s="50" t="n">
        <f aca="false">COUNTIFS(Daten!$A$2:$A$281,"MRK",Daten!$Y$2:$Y$281,"&gt;=0")</f>
        <v>0</v>
      </c>
      <c r="F86" s="19" t="str">
        <f aca="false">IFERROR(AVERAGEIFS(Daten!$V$2:$V$281,Daten!$A$2:$A$281,"MRK"),"")</f>
        <v/>
      </c>
      <c r="G86" s="50" t="n">
        <f aca="false">COUNTIFS(Daten!$A$2:$A$281,"MRK",Daten!$F$2:$F$281,"qualitativ")+COUNTIFS(Daten!$A$2:$A$281,"MRK",Daten!$F$2:$F$281,"fehlend")</f>
        <v>10</v>
      </c>
    </row>
    <row r="87" customFormat="false" ht="15" hidden="false" customHeight="true" outlineLevel="0" collapsed="false">
      <c r="A87" s="0" t="s">
        <v>97</v>
      </c>
      <c r="B87" s="19" t="n">
        <f aca="false">IFERROR(AVERAGEIFS(Daten!$U$2:$U$281,Daten!$G$2:$G$281,"absolut",Daten!$A$2:$A$281,"MTX"),"")</f>
        <v>0.060482465830594</v>
      </c>
      <c r="C87" s="50" t="n">
        <f aca="false">COUNTIFS(Daten!$G$2:$G$281,"absolut",Daten!$A$2:$A$281,"MTX",Daten!$U$2:$U$281,"&gt;=0")</f>
        <v>4</v>
      </c>
      <c r="D87" s="19" t="n">
        <f aca="false">IFERROR(AVERAGEIFS(Daten!$Y$2:$Y$281,Daten!$A$2:$A$281,"MTX"),"")</f>
        <v>0.0135</v>
      </c>
      <c r="E87" s="50" t="n">
        <f aca="false">COUNTIFS(Daten!$A$2:$A$281,"MTX",Daten!$Y$2:$Y$281,"&gt;=0")</f>
        <v>2</v>
      </c>
      <c r="F87" s="19" t="n">
        <f aca="false">IFERROR(AVERAGEIFS(Daten!$V$2:$V$281,Daten!$A$2:$A$281,"MTX"),"")</f>
        <v>0.333333333333333</v>
      </c>
      <c r="G87" s="50" t="n">
        <f aca="false">COUNTIFS(Daten!$A$2:$A$281,"MTX",Daten!$F$2:$F$281,"qualitativ")+COUNTIFS(Daten!$A$2:$A$281,"MTX",Daten!$F$2:$F$281,"fehlend")</f>
        <v>4</v>
      </c>
    </row>
    <row r="88" customFormat="false" ht="15" hidden="false" customHeight="true" outlineLevel="0" collapsed="false">
      <c r="A88" s="0" t="s">
        <v>102</v>
      </c>
      <c r="B88" s="19" t="n">
        <f aca="false">IFERROR(AVERAGEIFS(Daten!$U$2:$U$281,Daten!$G$2:$G$281,"absolut",Daten!$A$2:$A$281,"MUV2"),"")</f>
        <v>0.278484825975932</v>
      </c>
      <c r="C88" s="50" t="n">
        <f aca="false">COUNTIFS(Daten!$G$2:$G$281,"absolut",Daten!$A$2:$A$281,"MUV2",Daten!$U$2:$U$281,"&gt;=0")</f>
        <v>5</v>
      </c>
      <c r="D88" s="19" t="str">
        <f aca="false">IFERROR(AVERAGEIFS(Daten!$Y$2:$Y$281,Daten!$A$2:$A$281,"MUV2"),"")</f>
        <v/>
      </c>
      <c r="E88" s="50" t="n">
        <f aca="false">COUNTIFS(Daten!$A$2:$A$281,"MUV2",Daten!$Y$2:$Y$281,"&gt;=0")</f>
        <v>0</v>
      </c>
      <c r="F88" s="19" t="str">
        <f aca="false">IFERROR(AVERAGEIFS(Daten!$V$2:$V$281,Daten!$A$2:$A$281,"MUV2"),"")</f>
        <v/>
      </c>
      <c r="G88" s="50" t="n">
        <f aca="false">COUNTIFS(Daten!$A$2:$A$281,"MUV2",Daten!$F$2:$F$281,"qualitativ")+COUNTIFS(Daten!$A$2:$A$281,"MUV2",Daten!$F$2:$F$281,"fehlend")</f>
        <v>5</v>
      </c>
    </row>
    <row r="89" customFormat="false" ht="15" hidden="false" customHeight="true" outlineLevel="0" collapsed="false">
      <c r="A89" s="0" t="s">
        <v>106</v>
      </c>
      <c r="B89" s="19" t="n">
        <f aca="false">IFERROR(AVERAGEIFS(Daten!$U$2:$U$281,Daten!$G$2:$G$281,"absolut",Daten!$A$2:$A$281,"RWE"),"")</f>
        <v>0.207912588755958</v>
      </c>
      <c r="C89" s="50" t="n">
        <f aca="false">COUNTIFS(Daten!$G$2:$G$281,"absolut",Daten!$A$2:$A$281,"RWE",Daten!$U$2:$U$281,"&gt;=0")</f>
        <v>5</v>
      </c>
      <c r="D89" s="19" t="str">
        <f aca="false">IFERROR(AVERAGEIFS(Daten!$Y$2:$Y$281,Daten!$A$2:$A$281,"RWE"),"")</f>
        <v/>
      </c>
      <c r="E89" s="50" t="n">
        <f aca="false">COUNTIFS(Daten!$A$2:$A$281,"RWE",Daten!$Y$2:$Y$281,"&gt;=0")</f>
        <v>0</v>
      </c>
      <c r="F89" s="19" t="n">
        <f aca="false">IFERROR(AVERAGEIFS(Daten!$V$2:$V$281,Daten!$A$2:$A$281,"RWE"),"")</f>
        <v>0.2</v>
      </c>
      <c r="G89" s="50" t="n">
        <f aca="false">COUNTIFS(Daten!$A$2:$A$281,"RWE",Daten!$F$2:$F$281,"qualitativ")+COUNTIFS(Daten!$A$2:$A$281,"RWE",Daten!$F$2:$F$281,"fehlend")</f>
        <v>5</v>
      </c>
    </row>
    <row r="90" customFormat="false" ht="15" hidden="false" customHeight="true" outlineLevel="0" collapsed="false">
      <c r="A90" s="0" t="s">
        <v>109</v>
      </c>
      <c r="B90" s="19" t="n">
        <f aca="false">IFERROR(AVERAGEIFS(Daten!$U$2:$U$281,Daten!$G$2:$G$281,"absolut",Daten!$A$2:$A$281,"SAP"),"")</f>
        <v>0.0378746764962838</v>
      </c>
      <c r="C90" s="50" t="n">
        <f aca="false">COUNTIFS(Daten!$G$2:$G$281,"absolut",Daten!$A$2:$A$281,"SAP",Daten!$U$2:$U$281,"&gt;=0")</f>
        <v>10</v>
      </c>
      <c r="D90" s="19" t="str">
        <f aca="false">IFERROR(AVERAGEIFS(Daten!$Y$2:$Y$281,Daten!$A$2:$A$281,"SAP"),"")</f>
        <v/>
      </c>
      <c r="E90" s="50" t="n">
        <f aca="false">COUNTIFS(Daten!$A$2:$A$281,"SAP",Daten!$Y$2:$Y$281,"&gt;=0")</f>
        <v>0</v>
      </c>
      <c r="F90" s="19" t="n">
        <f aca="false">IFERROR(AVERAGEIFS(Daten!$V$2:$V$281,Daten!$A$2:$A$281,"SAP"),"")</f>
        <v>0.2</v>
      </c>
      <c r="G90" s="50" t="n">
        <f aca="false">COUNTIFS(Daten!$A$2:$A$281,"SAP",Daten!$F$2:$F$281,"qualitativ")+COUNTIFS(Daten!$A$2:$A$281,"SAP",Daten!$F$2:$F$281,"fehlend")</f>
        <v>0</v>
      </c>
    </row>
    <row r="91" customFormat="false" ht="15" hidden="false" customHeight="true" outlineLevel="0" collapsed="false">
      <c r="A91" s="0" t="s">
        <v>114</v>
      </c>
      <c r="B91" s="19" t="n">
        <f aca="false">IFERROR(AVERAGEIFS(Daten!$U$2:$U$281,Daten!$G$2:$G$281,"absolut",Daten!$A$2:$A$281,"SIE"),"")</f>
        <v>0.246975924755372</v>
      </c>
      <c r="C91" s="50" t="n">
        <f aca="false">COUNTIFS(Daten!$G$2:$G$281,"absolut",Daten!$A$2:$A$281,"SIE",Daten!$U$2:$U$281,"&gt;=0")</f>
        <v>3</v>
      </c>
      <c r="D91" s="19" t="n">
        <f aca="false">IFERROR(AVERAGEIFS(Daten!$Y$2:$Y$281,Daten!$A$2:$A$281,"SIE"),"")</f>
        <v>0.0323333333333333</v>
      </c>
      <c r="E91" s="50" t="n">
        <f aca="false">COUNTIFS(Daten!$A$2:$A$281,"SIE",Daten!$Y$2:$Y$281,"&gt;=0")</f>
        <v>3</v>
      </c>
      <c r="F91" s="19" t="n">
        <f aca="false">IFERROR(AVERAGEIFS(Daten!$V$2:$V$281,Daten!$A$2:$A$281,"SIE"),"")</f>
        <v>0.166666666666667</v>
      </c>
      <c r="G91" s="50" t="n">
        <f aca="false">COUNTIFS(Daten!$A$2:$A$281,"SIE",Daten!$F$2:$F$281,"qualitativ")+COUNTIFS(Daten!$A$2:$A$281,"SIE",Daten!$F$2:$F$281,"fehlend")</f>
        <v>4</v>
      </c>
    </row>
    <row r="92" customFormat="false" ht="15" hidden="false" customHeight="true" outlineLevel="0" collapsed="false">
      <c r="A92" s="0" t="s">
        <v>118</v>
      </c>
      <c r="B92" s="19" t="str">
        <f aca="false">IFERROR(AVERAGEIFS(Daten!$U$2:$U$281,Daten!$G$2:$G$281,"absolut",Daten!$A$2:$A$281,"VOW3"),"")</f>
        <v/>
      </c>
      <c r="C92" s="50" t="n">
        <f aca="false">COUNTIFS(Daten!$G$2:$G$281,"absolut",Daten!$A$2:$A$281,"VOW3",Daten!$U$2:$U$281,"&gt;=0")</f>
        <v>0</v>
      </c>
      <c r="D92" s="19" t="n">
        <f aca="false">IFERROR(AVERAGEIFS(Daten!$Y$2:$Y$281,Daten!$A$2:$A$281,"VOW3"),"")</f>
        <v>0.0143</v>
      </c>
      <c r="E92" s="50" t="n">
        <f aca="false">COUNTIFS(Daten!$A$2:$A$281,"VOW3",Daten!$Y$2:$Y$281,"&gt;=0")</f>
        <v>5</v>
      </c>
      <c r="F92" s="19" t="n">
        <f aca="false">IFERROR(AVERAGEIFS(Daten!$V$2:$V$281,Daten!$A$2:$A$281,"VOW3"),"")</f>
        <v>0.2</v>
      </c>
      <c r="G92" s="50" t="n">
        <f aca="false">COUNTIFS(Daten!$A$2:$A$281,"VOW3",Daten!$F$2:$F$281,"qualitativ")+COUNTIFS(Daten!$A$2:$A$281,"VOW3",Daten!$F$2:$F$281,"fehlend")</f>
        <v>1</v>
      </c>
    </row>
    <row r="93" customFormat="false" ht="15" hidden="false" customHeight="true" outlineLevel="0" collapsed="false">
      <c r="A93" s="0" t="s">
        <v>121</v>
      </c>
      <c r="B93" s="19" t="n">
        <f aca="false">IFERROR(AVERAGEIFS(Daten!$U$2:$U$281,Daten!$G$2:$G$281,"absolut",Daten!$A$2:$A$281,"VNA"),"")</f>
        <v>0.0210881196633991</v>
      </c>
      <c r="C93" s="50" t="n">
        <f aca="false">COUNTIFS(Daten!$G$2:$G$281,"absolut",Daten!$A$2:$A$281,"VNA",Daten!$U$2:$U$281,"&gt;=0")</f>
        <v>9</v>
      </c>
      <c r="D93" s="19" t="str">
        <f aca="false">IFERROR(AVERAGEIFS(Daten!$Y$2:$Y$281,Daten!$A$2:$A$281,"VNA"),"")</f>
        <v/>
      </c>
      <c r="E93" s="50" t="n">
        <f aca="false">COUNTIFS(Daten!$A$2:$A$281,"VNA",Daten!$Y$2:$Y$281,"&gt;=0")</f>
        <v>0</v>
      </c>
      <c r="F93" s="19" t="n">
        <f aca="false">IFERROR(AVERAGEIFS(Daten!$V$2:$V$281,Daten!$A$2:$A$281,"VNA"),"")</f>
        <v>0.777777777777778</v>
      </c>
      <c r="G93" s="50" t="n">
        <f aca="false">COUNTIFS(Daten!$A$2:$A$281,"VNA",Daten!$F$2:$F$281,"qualitativ")+COUNTIFS(Daten!$A$2:$A$281,"VNA",Daten!$F$2:$F$281,"fehlend")</f>
        <v>1</v>
      </c>
    </row>
    <row r="95" customFormat="false" ht="15" hidden="false" customHeight="true" outlineLevel="0" collapsed="false">
      <c r="A95" s="51" t="s">
        <v>558</v>
      </c>
    </row>
    <row r="97" customFormat="false" ht="14.25" hidden="false" customHeight="false" outlineLevel="0" collapsed="false">
      <c r="A97" s="52" t="s">
        <v>559</v>
      </c>
    </row>
    <row r="98" customFormat="false" ht="14.25" hidden="false" customHeight="false" outlineLevel="0" collapsed="false">
      <c r="A98" s="49" t="s">
        <v>560</v>
      </c>
      <c r="B98" s="49" t="s">
        <v>556</v>
      </c>
      <c r="C98" s="49" t="s">
        <v>552</v>
      </c>
      <c r="D98" s="49" t="s">
        <v>561</v>
      </c>
      <c r="E98" s="49" t="s">
        <v>562</v>
      </c>
    </row>
    <row r="99" customFormat="false" ht="14.25" hidden="false" customHeight="false" outlineLevel="0" collapsed="false">
      <c r="A99" s="0" t="n">
        <v>9</v>
      </c>
      <c r="B99" s="0" t="s">
        <v>7</v>
      </c>
      <c r="C99" s="0" t="n">
        <v>2023</v>
      </c>
      <c r="D99" s="19" t="n">
        <f aca="false">Daten!T9</f>
        <v>-3.61194029850746</v>
      </c>
      <c r="E99" s="50" t="s">
        <v>563</v>
      </c>
    </row>
    <row r="100" customFormat="false" ht="14.25" hidden="false" customHeight="false" outlineLevel="0" collapsed="false">
      <c r="A100" s="0" t="n">
        <v>11</v>
      </c>
      <c r="B100" s="0" t="s">
        <v>7</v>
      </c>
      <c r="C100" s="0" t="n">
        <v>2024</v>
      </c>
      <c r="D100" s="19" t="n">
        <f aca="false">Daten!T11</f>
        <v>-0.62602842183994</v>
      </c>
      <c r="E100" s="50" t="s">
        <v>564</v>
      </c>
    </row>
    <row r="101" customFormat="false" ht="14.25" hidden="false" customHeight="false" outlineLevel="0" collapsed="false">
      <c r="A101" s="0" t="n">
        <v>77</v>
      </c>
      <c r="B101" s="0" t="s">
        <v>40</v>
      </c>
      <c r="C101" s="0" t="n">
        <v>2022</v>
      </c>
      <c r="D101" s="19" t="n">
        <f aca="false">Daten!T77</f>
        <v>0.700680272108844</v>
      </c>
      <c r="E101" s="50" t="s">
        <v>565</v>
      </c>
    </row>
    <row r="102" customFormat="false" ht="14.25" hidden="false" customHeight="false" outlineLevel="0" collapsed="false">
      <c r="A102" s="0" t="n">
        <v>223</v>
      </c>
      <c r="B102" s="0" t="s">
        <v>102</v>
      </c>
      <c r="C102" s="0" t="n">
        <v>2020</v>
      </c>
      <c r="D102" s="19" t="n">
        <f aca="false">Daten!T223</f>
        <v>1.06440957886045</v>
      </c>
      <c r="E102" s="50" t="s">
        <v>566</v>
      </c>
    </row>
    <row r="103" customFormat="false" ht="14.25" hidden="false" customHeight="false" outlineLevel="0" collapsed="false">
      <c r="A103" s="0" t="n">
        <v>257</v>
      </c>
      <c r="B103" s="0" t="s">
        <v>114</v>
      </c>
      <c r="C103" s="0" t="n">
        <v>2022</v>
      </c>
      <c r="D103" s="19" t="n">
        <f aca="false">Daten!T257</f>
        <v>0.627056672760512</v>
      </c>
      <c r="E103" s="50" t="s">
        <v>567</v>
      </c>
    </row>
    <row r="107" customFormat="false" ht="14.25" hidden="false" customHeight="false" outlineLevel="0" collapsed="false">
      <c r="A107" s="49" t="s">
        <v>568</v>
      </c>
      <c r="B107" s="19" t="n">
        <f aca="false">(SUMIFS(Daten!$U$2:$U$281,Daten!$G$2:$G$281,"absolut")-Daten!U9)/(COUNTIFS(Daten!$G$2:$G$281,"absolut",Daten!$U$2:$U$281,"&gt;=0")-1)</f>
        <v>0.104125634448321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2" activeCellId="0" sqref="B22"/>
    </sheetView>
  </sheetViews>
  <sheetFormatPr defaultColWidth="8.6328125" defaultRowHeight="14.25" zeroHeight="false" outlineLevelRow="0" outlineLevelCol="0"/>
  <cols>
    <col collapsed="false" customWidth="true" hidden="false" outlineLevel="0" max="1" min="1" style="0" width="28"/>
    <col collapsed="false" customWidth="true" hidden="false" outlineLevel="0" max="2" min="2" style="0" width="115"/>
  </cols>
  <sheetData>
    <row r="1" customFormat="false" ht="15" hidden="false" customHeight="true" outlineLevel="0" collapsed="false">
      <c r="A1" s="53" t="s">
        <v>569</v>
      </c>
      <c r="B1" s="53" t="s">
        <v>570</v>
      </c>
    </row>
    <row r="2" customFormat="false" ht="27.75" hidden="false" customHeight="true" outlineLevel="0" collapsed="false">
      <c r="A2" s="49" t="s">
        <v>571</v>
      </c>
      <c r="B2" s="18" t="s">
        <v>572</v>
      </c>
    </row>
    <row r="3" customFormat="false" ht="27.75" hidden="false" customHeight="true" outlineLevel="0" collapsed="false">
      <c r="A3" s="49" t="s">
        <v>143</v>
      </c>
      <c r="B3" s="18" t="s">
        <v>573</v>
      </c>
    </row>
    <row r="4" customFormat="false" ht="27.75" hidden="false" customHeight="true" outlineLevel="0" collapsed="false">
      <c r="A4" s="49" t="s">
        <v>574</v>
      </c>
      <c r="B4" s="18" t="s">
        <v>575</v>
      </c>
    </row>
    <row r="5" customFormat="false" ht="27.75" hidden="false" customHeight="true" outlineLevel="0" collapsed="false">
      <c r="A5" s="49" t="s">
        <v>576</v>
      </c>
      <c r="B5" s="18" t="s">
        <v>577</v>
      </c>
    </row>
    <row r="6" customFormat="false" ht="27.75" hidden="false" customHeight="true" outlineLevel="0" collapsed="false">
      <c r="A6" s="49" t="s">
        <v>149</v>
      </c>
      <c r="B6" s="18" t="s">
        <v>578</v>
      </c>
    </row>
    <row r="7" customFormat="false" ht="27.75" hidden="false" customHeight="true" outlineLevel="0" collapsed="false">
      <c r="A7" s="49" t="s">
        <v>132</v>
      </c>
      <c r="B7" s="18" t="s">
        <v>579</v>
      </c>
    </row>
    <row r="8" customFormat="false" ht="27.75" hidden="false" customHeight="true" outlineLevel="0" collapsed="false">
      <c r="A8" s="49" t="s">
        <v>580</v>
      </c>
      <c r="B8" s="18" t="s">
        <v>581</v>
      </c>
    </row>
    <row r="9" customFormat="false" ht="15" hidden="false" customHeight="true" outlineLevel="0" collapsed="false">
      <c r="A9" s="49" t="s">
        <v>582</v>
      </c>
      <c r="B9" s="18" t="s">
        <v>583</v>
      </c>
    </row>
    <row r="10" customFormat="false" ht="15" hidden="false" customHeight="true" outlineLevel="0" collapsed="false">
      <c r="A10" s="49" t="s">
        <v>148</v>
      </c>
      <c r="B10" s="18" t="s">
        <v>584</v>
      </c>
    </row>
    <row r="11" customFormat="false" ht="15" hidden="false" customHeight="true" outlineLevel="0" collapsed="false">
      <c r="A11" s="49" t="s">
        <v>585</v>
      </c>
      <c r="B11" s="18" t="s">
        <v>586</v>
      </c>
    </row>
    <row r="12" customFormat="false" ht="15" hidden="false" customHeight="true" outlineLevel="0" collapsed="false">
      <c r="A12" s="49" t="s">
        <v>587</v>
      </c>
      <c r="B12" s="18" t="s">
        <v>588</v>
      </c>
    </row>
    <row r="13" customFormat="false" ht="27.75" hidden="false" customHeight="true" outlineLevel="0" collapsed="false">
      <c r="A13" s="49" t="s">
        <v>589</v>
      </c>
      <c r="B13" s="18" t="s">
        <v>590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Tomruk, Zeynep</dc:creator>
  <dc:description/>
  <dc:language>en-US</dc:language>
  <cp:lastModifiedBy>Tomruk, Zeynep</cp:lastModifiedBy>
  <cp:lastPrinted>2026-08-27T12:09:13Z</cp:lastPrinted>
  <dcterms:modified xsi:type="dcterms:W3CDTF">2026-09-28T17:23:13Z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